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1ACC333B-9C46-4131-9DD2-5AB6CDDB1FDC}" xr6:coauthVersionLast="47" xr6:coauthVersionMax="47" xr10:uidLastSave="{00000000-0000-0000-0000-000000000000}"/>
  <bookViews>
    <workbookView xWindow="-108" yWindow="-108" windowWidth="23256" windowHeight="12456" xr2:uid="{277C2173-ACF7-4FE0-A5C2-101F3A216CF3}"/>
  </bookViews>
  <sheets>
    <sheet name="RIB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 s="1"/>
  <c r="E4" i="1"/>
  <c r="H4" i="1" s="1"/>
  <c r="F4" i="1"/>
  <c r="I4" i="1" s="1"/>
  <c r="L4" i="1" s="1"/>
  <c r="J4" i="1"/>
  <c r="M4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S4" i="1"/>
  <c r="C4" i="1" s="1"/>
  <c r="D5" i="1"/>
  <c r="G5" i="1" s="1"/>
  <c r="E5" i="1"/>
  <c r="H5" i="1" s="1"/>
  <c r="F5" i="1"/>
  <c r="I5" i="1" s="1"/>
  <c r="L5" i="1" s="1"/>
  <c r="J5" i="1"/>
  <c r="M5" i="1"/>
  <c r="S5" i="1"/>
  <c r="C5" i="1" s="1"/>
  <c r="D6" i="1"/>
  <c r="D7" i="1" s="1"/>
  <c r="E6" i="1"/>
  <c r="H6" i="1" s="1"/>
  <c r="F6" i="1"/>
  <c r="I6" i="1" s="1"/>
  <c r="L6" i="1" s="1"/>
  <c r="J6" i="1"/>
  <c r="M6" i="1"/>
  <c r="S6" i="1"/>
  <c r="C6" i="1" s="1"/>
  <c r="E7" i="1"/>
  <c r="H7" i="1" s="1"/>
  <c r="F7" i="1"/>
  <c r="I7" i="1" s="1"/>
  <c r="L7" i="1" s="1"/>
  <c r="S7" i="1"/>
  <c r="C7" i="1" s="1"/>
  <c r="E8" i="1"/>
  <c r="H8" i="1" s="1"/>
  <c r="F8" i="1"/>
  <c r="I8" i="1" s="1"/>
  <c r="L8" i="1" s="1"/>
  <c r="S8" i="1"/>
  <c r="C8" i="1" s="1"/>
  <c r="E9" i="1"/>
  <c r="H9" i="1" s="1"/>
  <c r="F9" i="1"/>
  <c r="I9" i="1" s="1"/>
  <c r="L9" i="1" s="1"/>
  <c r="S9" i="1"/>
  <c r="C9" i="1" s="1"/>
  <c r="E10" i="1"/>
  <c r="H10" i="1" s="1"/>
  <c r="F10" i="1"/>
  <c r="I10" i="1" s="1"/>
  <c r="L10" i="1" s="1"/>
  <c r="S10" i="1"/>
  <c r="C10" i="1" s="1"/>
  <c r="E11" i="1"/>
  <c r="E12" i="1" s="1"/>
  <c r="F11" i="1"/>
  <c r="I11" i="1" s="1"/>
  <c r="L11" i="1" s="1"/>
  <c r="S11" i="1"/>
  <c r="C11" i="1" s="1"/>
  <c r="F12" i="1"/>
  <c r="I12" i="1" s="1"/>
  <c r="L12" i="1" s="1"/>
  <c r="S12" i="1"/>
  <c r="C12" i="1" s="1"/>
  <c r="F13" i="1"/>
  <c r="I13" i="1" s="1"/>
  <c r="L13" i="1" s="1"/>
  <c r="S13" i="1"/>
  <c r="C13" i="1" s="1"/>
  <c r="F14" i="1"/>
  <c r="I14" i="1" s="1"/>
  <c r="L14" i="1" s="1"/>
  <c r="S14" i="1"/>
  <c r="C14" i="1" s="1"/>
  <c r="F15" i="1"/>
  <c r="I15" i="1" s="1"/>
  <c r="L15" i="1" s="1"/>
  <c r="S15" i="1"/>
  <c r="C15" i="1" s="1"/>
  <c r="F16" i="1"/>
  <c r="I16" i="1" s="1"/>
  <c r="L16" i="1" s="1"/>
  <c r="S16" i="1"/>
  <c r="C16" i="1" s="1"/>
  <c r="F17" i="1"/>
  <c r="I17" i="1" s="1"/>
  <c r="L17" i="1" s="1"/>
  <c r="S17" i="1"/>
  <c r="C17" i="1" s="1"/>
  <c r="F18" i="1"/>
  <c r="I18" i="1" s="1"/>
  <c r="L18" i="1" s="1"/>
  <c r="S18" i="1"/>
  <c r="C18" i="1" s="1"/>
  <c r="E23" i="1"/>
  <c r="E24" i="1"/>
  <c r="E13" i="1" l="1"/>
  <c r="H12" i="1"/>
  <c r="D8" i="1"/>
  <c r="M7" i="1"/>
  <c r="G7" i="1"/>
  <c r="J7" i="1"/>
  <c r="H11" i="1"/>
  <c r="G6" i="1"/>
  <c r="E14" i="1" l="1"/>
  <c r="H13" i="1"/>
  <c r="D9" i="1"/>
  <c r="M8" i="1"/>
  <c r="G8" i="1"/>
  <c r="J8" i="1"/>
  <c r="E15" i="1" l="1"/>
  <c r="H14" i="1"/>
  <c r="D10" i="1"/>
  <c r="M9" i="1"/>
  <c r="G9" i="1"/>
  <c r="J9" i="1"/>
  <c r="M10" i="1" l="1"/>
  <c r="D11" i="1"/>
  <c r="G10" i="1"/>
  <c r="J10" i="1"/>
  <c r="E16" i="1"/>
  <c r="H15" i="1"/>
  <c r="E17" i="1" l="1"/>
  <c r="H16" i="1"/>
  <c r="D12" i="1"/>
  <c r="G11" i="1"/>
  <c r="J11" i="1"/>
  <c r="M11" i="1"/>
  <c r="D13" i="1" l="1"/>
  <c r="M12" i="1"/>
  <c r="G12" i="1"/>
  <c r="J12" i="1"/>
  <c r="E18" i="1"/>
  <c r="H18" i="1" s="1"/>
  <c r="H17" i="1"/>
  <c r="D14" i="1" l="1"/>
  <c r="M13" i="1"/>
  <c r="G13" i="1"/>
  <c r="J13" i="1"/>
  <c r="J14" i="1" l="1"/>
  <c r="M14" i="1"/>
  <c r="D15" i="1"/>
  <c r="G14" i="1"/>
  <c r="D16" i="1" l="1"/>
  <c r="J15" i="1"/>
  <c r="M15" i="1"/>
  <c r="G15" i="1"/>
  <c r="D17" i="1" l="1"/>
  <c r="J16" i="1"/>
  <c r="G16" i="1"/>
  <c r="M16" i="1"/>
  <c r="D18" i="1" l="1"/>
  <c r="M17" i="1"/>
  <c r="G17" i="1"/>
  <c r="J17" i="1"/>
  <c r="M18" i="1" l="1"/>
  <c r="J18" i="1"/>
  <c r="G18" i="1"/>
</calcChain>
</file>

<file path=xl/sharedStrings.xml><?xml version="1.0" encoding="utf-8"?>
<sst xmlns="http://schemas.openxmlformats.org/spreadsheetml/2006/main" count="32" uniqueCount="31">
  <si>
    <t>Round up reduction to 25%</t>
  </si>
  <si>
    <t>%</t>
  </si>
  <si>
    <t>% reduction</t>
  </si>
  <si>
    <t>(Taken from area calculation using above coordinates X 2 as only one side of Keel Beam is modelled)</t>
  </si>
  <si>
    <t>mm^2</t>
  </si>
  <si>
    <t>Modelled area of generic rib =</t>
  </si>
  <si>
    <t xml:space="preserve">Measured area from CATIA of generic rib = </t>
  </si>
  <si>
    <t>Account for Access Holes</t>
  </si>
  <si>
    <t>RIBS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</si>
  <si>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</si>
  <si>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</si>
  <si>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</si>
  <si>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</si>
  <si>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</si>
  <si>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</si>
  <si>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</si>
  <si>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</si>
  <si>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</si>
  <si>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</si>
  <si>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</si>
  <si>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</si>
  <si>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</si>
  <si>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</si>
  <si>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</si>
  <si>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</si>
  <si>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</si>
  <si>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FQD</t>
  </si>
  <si>
    <t>SYM</t>
  </si>
  <si>
    <t>All mass values in Grams</t>
  </si>
  <si>
    <t>Rib FQD volume reduced by 25% to account for access holes (see below)</t>
  </si>
  <si>
    <t>RIBS PRIMITIVES GEOMETRY - all units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</si>
</sst>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sz val="12"/>
      <color rgb="FF000000"/>
      <name val="Arial"/>
      <scheme val="minor"/>
    </font>
    <font>
      <i/>
      <sz val="12"/>
      <color rgb="FF000000"/>
      <name val="Arial"/>
      <scheme val="minor"/>
    </font>
    <font>
      <b/>
      <sz val="12"/>
      <color rgb="FF000000"/>
      <name val="Arial"/>
      <scheme val="minor"/>
    </font>
    <font>
      <sz val="10"/>
      <name val="Arial"/>
    </font>
    <font>
      <b/>
      <sz val="12"/>
      <color rgb="FFFF0000"/>
      <name val="Arial"/>
      <scheme val="minor"/>
    </font>
    <font>
      <sz val="12"/>
      <color rgb="FFFF0000"/>
      <name val="Arial"/>
      <scheme val="minor"/>
    </font>
    <font>
      <i/>
      <sz val="12"/>
      <color rgb="FFFF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1" fillId="0" borderId="4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TOP_PANEL.xlsx" TargetMode="External"/><Relationship Id="rId1" Type="http://schemas.openxmlformats.org/officeDocument/2006/relationships/externalLinkPath" Target="TOP_PAN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IDE_PANELS.xlsx" TargetMode="External"/><Relationship Id="rId1" Type="http://schemas.openxmlformats.org/officeDocument/2006/relationships/externalLinkPath" Target="SIDE_PANEL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BTM_PANEL.xlsx" TargetMode="External"/><Relationship Id="rId1" Type="http://schemas.openxmlformats.org/officeDocument/2006/relationships/externalLinkPath" Target="BTM_PAN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_PANEL"/>
    </sheetNames>
    <sheetDataSet>
      <sheetData sheetId="0">
        <row r="4">
          <cell r="C4">
            <v>405.66917999999998</v>
          </cell>
          <cell r="P4">
            <v>-2</v>
          </cell>
        </row>
        <row r="5">
          <cell r="P5">
            <v>-2</v>
          </cell>
        </row>
        <row r="6">
          <cell r="P6">
            <v>-2</v>
          </cell>
        </row>
        <row r="7">
          <cell r="P7">
            <v>-2</v>
          </cell>
        </row>
        <row r="8">
          <cell r="P8">
            <v>-2</v>
          </cell>
        </row>
        <row r="9">
          <cell r="P9">
            <v>-2</v>
          </cell>
        </row>
        <row r="10">
          <cell r="P10">
            <v>-3</v>
          </cell>
        </row>
        <row r="11">
          <cell r="P11">
            <v>-3</v>
          </cell>
        </row>
        <row r="12">
          <cell r="P12">
            <v>-3</v>
          </cell>
        </row>
        <row r="13">
          <cell r="P13">
            <v>-3</v>
          </cell>
        </row>
        <row r="14">
          <cell r="P14">
            <v>-5</v>
          </cell>
        </row>
        <row r="15">
          <cell r="P15">
            <v>-6</v>
          </cell>
        </row>
        <row r="16">
          <cell r="P16">
            <v>-6</v>
          </cell>
        </row>
        <row r="17">
          <cell r="P17">
            <v>-5</v>
          </cell>
        </row>
        <row r="18">
          <cell r="P18">
            <v>-3</v>
          </cell>
        </row>
        <row r="19">
          <cell r="P19">
            <v>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DE_PANELS"/>
    </sheetNames>
    <sheetDataSet>
      <sheetData sheetId="0">
        <row r="4">
          <cell r="C4">
            <v>488.97624374999998</v>
          </cell>
          <cell r="F4">
            <v>-2143.4562834914755</v>
          </cell>
          <cell r="P4">
            <v>-2.5</v>
          </cell>
        </row>
        <row r="5">
          <cell r="F5">
            <v>-2143.4562834914755</v>
          </cell>
          <cell r="P5">
            <v>-4</v>
          </cell>
        </row>
        <row r="6">
          <cell r="F6">
            <v>-2143.4562834914755</v>
          </cell>
          <cell r="P6">
            <v>-4</v>
          </cell>
        </row>
        <row r="7">
          <cell r="F7">
            <v>-2143.4562834914755</v>
          </cell>
          <cell r="P7">
            <v>-4</v>
          </cell>
        </row>
        <row r="8">
          <cell r="F8">
            <v>-2143.4562834914755</v>
          </cell>
          <cell r="P8">
            <v>-4</v>
          </cell>
        </row>
        <row r="9">
          <cell r="F9">
            <v>-2143.4562834914755</v>
          </cell>
          <cell r="P9">
            <v>-4</v>
          </cell>
        </row>
        <row r="10">
          <cell r="F10">
            <v>-2143.4562834914755</v>
          </cell>
          <cell r="P10">
            <v>-4</v>
          </cell>
        </row>
        <row r="11">
          <cell r="F11">
            <v>-2143.4562834914755</v>
          </cell>
          <cell r="P11">
            <v>-5</v>
          </cell>
        </row>
        <row r="12">
          <cell r="F12">
            <v>-2143.4562834914755</v>
          </cell>
          <cell r="P12">
            <v>-5</v>
          </cell>
        </row>
        <row r="13">
          <cell r="F13">
            <v>-2143.4562834914755</v>
          </cell>
          <cell r="P13">
            <v>-5</v>
          </cell>
        </row>
        <row r="14">
          <cell r="F14">
            <v>-2143.4562834914755</v>
          </cell>
          <cell r="P14">
            <v>-5</v>
          </cell>
        </row>
        <row r="15">
          <cell r="F15">
            <v>-2143.4562834914755</v>
          </cell>
          <cell r="P15">
            <v>-7</v>
          </cell>
        </row>
        <row r="16">
          <cell r="F16">
            <v>-2143.4562834914755</v>
          </cell>
          <cell r="P16">
            <v>-7</v>
          </cell>
        </row>
        <row r="17">
          <cell r="F17">
            <v>-2143.4562834914755</v>
          </cell>
          <cell r="P17">
            <v>-7</v>
          </cell>
        </row>
        <row r="18">
          <cell r="F18">
            <v>-2143.4562834914755</v>
          </cell>
          <cell r="P18">
            <v>-7</v>
          </cell>
        </row>
        <row r="19">
          <cell r="P19">
            <v>-7</v>
          </cell>
        </row>
        <row r="20">
          <cell r="P20">
            <v>-5</v>
          </cell>
        </row>
        <row r="21">
          <cell r="P21">
            <v>-1.2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4">
          <cell r="G4">
            <v>19634.2</v>
          </cell>
        </row>
        <row r="5">
          <cell r="G5">
            <v>25628.6</v>
          </cell>
        </row>
        <row r="7">
          <cell r="G7">
            <v>-2166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TM_PANEL"/>
    </sheetNames>
    <sheetDataSet>
      <sheetData sheetId="0">
        <row r="4">
          <cell r="C4">
            <v>3826.16</v>
          </cell>
          <cell r="V4">
            <v>3</v>
          </cell>
        </row>
        <row r="5">
          <cell r="V5">
            <v>5</v>
          </cell>
        </row>
        <row r="6">
          <cell r="V6">
            <v>4</v>
          </cell>
        </row>
        <row r="7">
          <cell r="V7">
            <v>5</v>
          </cell>
        </row>
        <row r="8">
          <cell r="V8">
            <v>5</v>
          </cell>
        </row>
        <row r="9">
          <cell r="V9">
            <v>5</v>
          </cell>
        </row>
        <row r="10">
          <cell r="V10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2455-7AC7-41D0-A739-957D613BE977}">
  <sheetPr>
    <outlinePr summaryBelow="0" summaryRight="0"/>
  </sheetPr>
  <dimension ref="A1:T945"/>
  <sheetViews>
    <sheetView tabSelected="1" workbookViewId="0">
      <pane ySplit="3" topLeftCell="A4" activePane="bottomLeft" state="frozen"/>
      <selection pane="bottomLeft" activeCell="D17" sqref="D17"/>
    </sheetView>
  </sheetViews>
  <sheetFormatPr defaultColWidth="12.6640625" defaultRowHeight="15.75" customHeight="1" x14ac:dyDescent="0.25"/>
  <cols>
    <col min="4" max="4" width="14.109375" customWidth="1"/>
    <col min="10" max="12" width="14.77734375" customWidth="1"/>
    <col min="18" max="18" width="15.21875" customWidth="1"/>
    <col min="19" max="19" width="16.44140625" customWidth="1"/>
  </cols>
  <sheetData>
    <row r="1" spans="1:20" ht="15.75" customHeight="1" x14ac:dyDescent="0.3">
      <c r="A1" s="1"/>
      <c r="B1" s="7" t="s">
        <v>30</v>
      </c>
      <c r="C1" s="1"/>
      <c r="D1" s="1"/>
      <c r="E1" s="1"/>
      <c r="F1" s="1"/>
      <c r="G1" s="22" t="s">
        <v>29</v>
      </c>
      <c r="H1" s="21"/>
      <c r="I1" s="21"/>
      <c r="J1" s="21"/>
      <c r="K1" s="21"/>
      <c r="L1" s="21"/>
      <c r="M1" s="22" t="s">
        <v>28</v>
      </c>
      <c r="N1" s="21"/>
      <c r="O1" s="21"/>
      <c r="P1" s="20" t="s">
        <v>27</v>
      </c>
      <c r="Q1" s="20" t="b">
        <v>1</v>
      </c>
      <c r="R1" s="1"/>
      <c r="S1" s="1"/>
      <c r="T1" s="1"/>
    </row>
    <row r="2" spans="1:20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1"/>
      <c r="B3" s="19" t="s">
        <v>26</v>
      </c>
      <c r="C3" s="18" t="s">
        <v>25</v>
      </c>
      <c r="D3" s="18" t="s">
        <v>24</v>
      </c>
      <c r="E3" s="18" t="s">
        <v>23</v>
      </c>
      <c r="F3" s="18" t="s">
        <v>22</v>
      </c>
      <c r="G3" s="17" t="s">
        <v>21</v>
      </c>
      <c r="H3" s="17" t="s">
        <v>20</v>
      </c>
      <c r="I3" s="17" t="s">
        <v>19</v>
      </c>
      <c r="J3" s="16" t="s">
        <v>18</v>
      </c>
      <c r="K3" s="16" t="s">
        <v>17</v>
      </c>
      <c r="L3" s="16" t="s">
        <v>16</v>
      </c>
      <c r="M3" s="15" t="s">
        <v>15</v>
      </c>
      <c r="N3" s="15" t="s">
        <v>14</v>
      </c>
      <c r="O3" s="15" t="s">
        <v>13</v>
      </c>
      <c r="P3" s="15" t="s">
        <v>12</v>
      </c>
      <c r="Q3" s="15" t="s">
        <v>11</v>
      </c>
      <c r="R3" s="14" t="s">
        <v>10</v>
      </c>
      <c r="S3" s="14" t="s">
        <v>9</v>
      </c>
      <c r="T3" s="7"/>
    </row>
    <row r="4" spans="1:20" ht="15" x14ac:dyDescent="0.25">
      <c r="A4" s="13" t="s">
        <v>8</v>
      </c>
      <c r="B4" s="10">
        <v>1</v>
      </c>
      <c r="C4" s="8">
        <f>S4*0.00283</f>
        <v>630.81973499999992</v>
      </c>
      <c r="D4" s="9">
        <f>[3]INPUTS!$G$4+([3]INPUTS!$G$5-533.4-[3]INPUTS!$G$4)/16</f>
        <v>19975.512500000001</v>
      </c>
      <c r="E4" s="9">
        <f>-262.5-AVERAGE([2]SIDE_PANELS!P4:P21)</f>
        <v>-257.62777777777779</v>
      </c>
      <c r="F4" s="9">
        <f>[2]SIDE_PANELS!F4</f>
        <v>-2143.4562834914755</v>
      </c>
      <c r="G4" s="9">
        <f>D4</f>
        <v>19975.512500000001</v>
      </c>
      <c r="H4" s="9">
        <f>E4</f>
        <v>-257.62777777777779</v>
      </c>
      <c r="I4" s="9">
        <f>F4+225+AVERAGE([1]TOP_PANEL!$P$4:$P$19)</f>
        <v>-1921.7062834914755</v>
      </c>
      <c r="J4" s="9">
        <f>D4</f>
        <v>19975.512500000001</v>
      </c>
      <c r="K4" s="9">
        <v>0</v>
      </c>
      <c r="L4" s="9">
        <f>I4</f>
        <v>-1921.7062834914755</v>
      </c>
      <c r="M4" s="9">
        <f>D4</f>
        <v>19975.512500000001</v>
      </c>
      <c r="N4" s="9">
        <v>0</v>
      </c>
      <c r="O4" s="9">
        <f>[3]INPUTS!G7+AVERAGE([4]BTM_PANEL!$V$4:$V$10)</f>
        <v>-2161.4285714285716</v>
      </c>
      <c r="P4" s="9">
        <v>5</v>
      </c>
      <c r="Q4" s="9">
        <v>5</v>
      </c>
      <c r="R4" s="8">
        <v>59441.2</v>
      </c>
      <c r="S4" s="8">
        <f>(R4*0.75)*SQRT(P4^2)</f>
        <v>222904.49999999997</v>
      </c>
      <c r="T4" s="1"/>
    </row>
    <row r="5" spans="1:20" ht="15" x14ac:dyDescent="0.25">
      <c r="A5" s="12"/>
      <c r="B5" s="10">
        <v>2</v>
      </c>
      <c r="C5" s="8">
        <f>S5*0.00283</f>
        <v>630.81973499999992</v>
      </c>
      <c r="D5" s="9">
        <f>D4+([3]INPUTS!$G$5-533.4-[3]INPUTS!$G$4)/16</f>
        <v>20316.825000000001</v>
      </c>
      <c r="E5" s="9">
        <f>E4</f>
        <v>-257.62777777777779</v>
      </c>
      <c r="F5" s="9">
        <f>[2]SIDE_PANELS!F5</f>
        <v>-2143.4562834914755</v>
      </c>
      <c r="G5" s="9">
        <f>D5</f>
        <v>20316.825000000001</v>
      </c>
      <c r="H5" s="9">
        <f>E5</f>
        <v>-257.62777777777779</v>
      </c>
      <c r="I5" s="9">
        <f>F5+225+AVERAGE([1]TOP_PANEL!$P$4:$P$19)</f>
        <v>-1921.7062834914755</v>
      </c>
      <c r="J5" s="9">
        <f>D5</f>
        <v>20316.825000000001</v>
      </c>
      <c r="K5" s="9">
        <v>0</v>
      </c>
      <c r="L5" s="9">
        <f>I5</f>
        <v>-1921.7062834914755</v>
      </c>
      <c r="M5" s="9">
        <f>D5</f>
        <v>20316.825000000001</v>
      </c>
      <c r="N5" s="9">
        <v>0</v>
      </c>
      <c r="O5" s="9">
        <f>O4</f>
        <v>-2161.4285714285716</v>
      </c>
      <c r="P5" s="9">
        <v>5</v>
      </c>
      <c r="Q5" s="9">
        <v>5</v>
      </c>
      <c r="R5" s="8">
        <v>59441.2</v>
      </c>
      <c r="S5" s="8">
        <f>(R5*0.75)*SQRT(P5^2)</f>
        <v>222904.49999999997</v>
      </c>
      <c r="T5" s="1"/>
    </row>
    <row r="6" spans="1:20" ht="15" x14ac:dyDescent="0.25">
      <c r="A6" s="12"/>
      <c r="B6" s="10">
        <v>3</v>
      </c>
      <c r="C6" s="8">
        <f>S6*0.00283</f>
        <v>630.81973499999992</v>
      </c>
      <c r="D6" s="9">
        <f>D5+([3]INPUTS!$G$5-533.4-[3]INPUTS!$G$4)/16</f>
        <v>20658.137500000001</v>
      </c>
      <c r="E6" s="9">
        <f>E5</f>
        <v>-257.62777777777779</v>
      </c>
      <c r="F6" s="9">
        <f>[2]SIDE_PANELS!F6</f>
        <v>-2143.4562834914755</v>
      </c>
      <c r="G6" s="9">
        <f>D6</f>
        <v>20658.137500000001</v>
      </c>
      <c r="H6" s="9">
        <f>E6</f>
        <v>-257.62777777777779</v>
      </c>
      <c r="I6" s="9">
        <f>F6+225+AVERAGE([1]TOP_PANEL!$P$4:$P$19)</f>
        <v>-1921.7062834914755</v>
      </c>
      <c r="J6" s="9">
        <f>D6</f>
        <v>20658.137500000001</v>
      </c>
      <c r="K6" s="9">
        <v>0</v>
      </c>
      <c r="L6" s="9">
        <f>I6</f>
        <v>-1921.7062834914755</v>
      </c>
      <c r="M6" s="9">
        <f>D6</f>
        <v>20658.137500000001</v>
      </c>
      <c r="N6" s="9">
        <v>0</v>
      </c>
      <c r="O6" s="9">
        <f>O5</f>
        <v>-2161.4285714285716</v>
      </c>
      <c r="P6" s="9">
        <v>5</v>
      </c>
      <c r="Q6" s="9">
        <v>5</v>
      </c>
      <c r="R6" s="8">
        <v>59441.2</v>
      </c>
      <c r="S6" s="8">
        <f>(R6*0.75)*SQRT(P6^2)</f>
        <v>222904.49999999997</v>
      </c>
      <c r="T6" s="1"/>
    </row>
    <row r="7" spans="1:20" ht="15" x14ac:dyDescent="0.25">
      <c r="A7" s="12"/>
      <c r="B7" s="10">
        <v>4</v>
      </c>
      <c r="C7" s="8">
        <f>S7*0.00283</f>
        <v>630.81973499999992</v>
      </c>
      <c r="D7" s="9">
        <f>D6+([3]INPUTS!$G$5-533.4-[3]INPUTS!$G$4)/16</f>
        <v>20999.45</v>
      </c>
      <c r="E7" s="9">
        <f>E6</f>
        <v>-257.62777777777779</v>
      </c>
      <c r="F7" s="9">
        <f>[2]SIDE_PANELS!F7</f>
        <v>-2143.4562834914755</v>
      </c>
      <c r="G7" s="9">
        <f>D7</f>
        <v>20999.45</v>
      </c>
      <c r="H7" s="9">
        <f>E7</f>
        <v>-257.62777777777779</v>
      </c>
      <c r="I7" s="9">
        <f>F7+225+AVERAGE([1]TOP_PANEL!$P$4:$P$19)</f>
        <v>-1921.7062834914755</v>
      </c>
      <c r="J7" s="9">
        <f>D7</f>
        <v>20999.45</v>
      </c>
      <c r="K7" s="9">
        <v>0</v>
      </c>
      <c r="L7" s="9">
        <f>I7</f>
        <v>-1921.7062834914755</v>
      </c>
      <c r="M7" s="9">
        <f>D7</f>
        <v>20999.45</v>
      </c>
      <c r="N7" s="9">
        <v>0</v>
      </c>
      <c r="O7" s="9">
        <f>O6</f>
        <v>-2161.4285714285716</v>
      </c>
      <c r="P7" s="9">
        <v>5</v>
      </c>
      <c r="Q7" s="9">
        <v>5</v>
      </c>
      <c r="R7" s="8">
        <v>59441.2</v>
      </c>
      <c r="S7" s="8">
        <f>(R7*0.75)*SQRT(P7^2)</f>
        <v>222904.49999999997</v>
      </c>
      <c r="T7" s="1"/>
    </row>
    <row r="8" spans="1:20" ht="15" x14ac:dyDescent="0.25">
      <c r="A8" s="12"/>
      <c r="B8" s="10">
        <v>5</v>
      </c>
      <c r="C8" s="8">
        <f>S8*0.00283</f>
        <v>630.81973499999992</v>
      </c>
      <c r="D8" s="9">
        <f>D7+([3]INPUTS!$G$5-533.4-[3]INPUTS!$G$4)/16</f>
        <v>21340.762500000001</v>
      </c>
      <c r="E8" s="9">
        <f>E7</f>
        <v>-257.62777777777779</v>
      </c>
      <c r="F8" s="9">
        <f>[2]SIDE_PANELS!F8</f>
        <v>-2143.4562834914755</v>
      </c>
      <c r="G8" s="9">
        <f>D8</f>
        <v>21340.762500000001</v>
      </c>
      <c r="H8" s="9">
        <f>E8</f>
        <v>-257.62777777777779</v>
      </c>
      <c r="I8" s="9">
        <f>F8+225+AVERAGE([1]TOP_PANEL!$P$4:$P$19)</f>
        <v>-1921.7062834914755</v>
      </c>
      <c r="J8" s="9">
        <f>D8</f>
        <v>21340.762500000001</v>
      </c>
      <c r="K8" s="9">
        <v>0</v>
      </c>
      <c r="L8" s="9">
        <f>I8</f>
        <v>-1921.7062834914755</v>
      </c>
      <c r="M8" s="9">
        <f>D8</f>
        <v>21340.762500000001</v>
      </c>
      <c r="N8" s="9">
        <v>0</v>
      </c>
      <c r="O8" s="9">
        <f>O7</f>
        <v>-2161.4285714285716</v>
      </c>
      <c r="P8" s="9">
        <v>5</v>
      </c>
      <c r="Q8" s="9">
        <v>5</v>
      </c>
      <c r="R8" s="8">
        <v>59441.2</v>
      </c>
      <c r="S8" s="8">
        <f>(R8*0.75)*SQRT(P8^2)</f>
        <v>222904.49999999997</v>
      </c>
      <c r="T8" s="1"/>
    </row>
    <row r="9" spans="1:20" ht="15" x14ac:dyDescent="0.25">
      <c r="A9" s="12"/>
      <c r="B9" s="10">
        <v>6</v>
      </c>
      <c r="C9" s="8">
        <f>S9*0.00283</f>
        <v>630.81973499999992</v>
      </c>
      <c r="D9" s="9">
        <f>D8+([3]INPUTS!$G$5-533.4-[3]INPUTS!$G$4)/16</f>
        <v>21682.075000000001</v>
      </c>
      <c r="E9" s="9">
        <f>E8</f>
        <v>-257.62777777777779</v>
      </c>
      <c r="F9" s="9">
        <f>[2]SIDE_PANELS!F9</f>
        <v>-2143.4562834914755</v>
      </c>
      <c r="G9" s="9">
        <f>D9</f>
        <v>21682.075000000001</v>
      </c>
      <c r="H9" s="9">
        <f>E9</f>
        <v>-257.62777777777779</v>
      </c>
      <c r="I9" s="9">
        <f>F9+225+AVERAGE([1]TOP_PANEL!$P$4:$P$19)</f>
        <v>-1921.7062834914755</v>
      </c>
      <c r="J9" s="9">
        <f>D9</f>
        <v>21682.075000000001</v>
      </c>
      <c r="K9" s="9">
        <v>0</v>
      </c>
      <c r="L9" s="9">
        <f>I9</f>
        <v>-1921.7062834914755</v>
      </c>
      <c r="M9" s="9">
        <f>D9</f>
        <v>21682.075000000001</v>
      </c>
      <c r="N9" s="9">
        <v>0</v>
      </c>
      <c r="O9" s="9">
        <f>O8</f>
        <v>-2161.4285714285716</v>
      </c>
      <c r="P9" s="9">
        <v>5</v>
      </c>
      <c r="Q9" s="9">
        <v>5</v>
      </c>
      <c r="R9" s="8">
        <v>59441.2</v>
      </c>
      <c r="S9" s="8">
        <f>(R9*0.75)*SQRT(P9^2)</f>
        <v>222904.49999999997</v>
      </c>
      <c r="T9" s="1"/>
    </row>
    <row r="10" spans="1:20" ht="15" x14ac:dyDescent="0.25">
      <c r="A10" s="12"/>
      <c r="B10" s="10">
        <v>7</v>
      </c>
      <c r="C10" s="8">
        <f>S10*0.00283</f>
        <v>630.81973499999992</v>
      </c>
      <c r="D10" s="9">
        <f>D9+([3]INPUTS!$G$5-533.4-[3]INPUTS!$G$4)/16</f>
        <v>22023.387500000001</v>
      </c>
      <c r="E10" s="9">
        <f>E9</f>
        <v>-257.62777777777779</v>
      </c>
      <c r="F10" s="9">
        <f>[2]SIDE_PANELS!F10</f>
        <v>-2143.4562834914755</v>
      </c>
      <c r="G10" s="9">
        <f>D10</f>
        <v>22023.387500000001</v>
      </c>
      <c r="H10" s="9">
        <f>E10</f>
        <v>-257.62777777777779</v>
      </c>
      <c r="I10" s="9">
        <f>F10+225+AVERAGE([1]TOP_PANEL!$P$4:$P$19)</f>
        <v>-1921.7062834914755</v>
      </c>
      <c r="J10" s="9">
        <f>D10</f>
        <v>22023.387500000001</v>
      </c>
      <c r="K10" s="9">
        <v>0</v>
      </c>
      <c r="L10" s="9">
        <f>I10</f>
        <v>-1921.7062834914755</v>
      </c>
      <c r="M10" s="9">
        <f>D10</f>
        <v>22023.387500000001</v>
      </c>
      <c r="N10" s="9">
        <v>0</v>
      </c>
      <c r="O10" s="9">
        <f>O9</f>
        <v>-2161.4285714285716</v>
      </c>
      <c r="P10" s="9">
        <v>5</v>
      </c>
      <c r="Q10" s="9">
        <v>5</v>
      </c>
      <c r="R10" s="8">
        <v>59441.2</v>
      </c>
      <c r="S10" s="8">
        <f>(R10*0.75)*SQRT(P10^2)</f>
        <v>222904.49999999997</v>
      </c>
      <c r="T10" s="1"/>
    </row>
    <row r="11" spans="1:20" ht="15" x14ac:dyDescent="0.25">
      <c r="A11" s="12"/>
      <c r="B11" s="10">
        <v>8</v>
      </c>
      <c r="C11" s="8">
        <f>S11*0.00283</f>
        <v>630.81973499999992</v>
      </c>
      <c r="D11" s="9">
        <f>D10+([3]INPUTS!$G$5-533.4-[3]INPUTS!$G$4)/16</f>
        <v>22364.7</v>
      </c>
      <c r="E11" s="9">
        <f>E10</f>
        <v>-257.62777777777779</v>
      </c>
      <c r="F11" s="9">
        <f>[2]SIDE_PANELS!F11</f>
        <v>-2143.4562834914755</v>
      </c>
      <c r="G11" s="9">
        <f>D11</f>
        <v>22364.7</v>
      </c>
      <c r="H11" s="9">
        <f>E11</f>
        <v>-257.62777777777779</v>
      </c>
      <c r="I11" s="9">
        <f>F11+225+AVERAGE([1]TOP_PANEL!$P$4:$P$19)</f>
        <v>-1921.7062834914755</v>
      </c>
      <c r="J11" s="9">
        <f>D11</f>
        <v>22364.7</v>
      </c>
      <c r="K11" s="9">
        <v>0</v>
      </c>
      <c r="L11" s="9">
        <f>I11</f>
        <v>-1921.7062834914755</v>
      </c>
      <c r="M11" s="9">
        <f>D11</f>
        <v>22364.7</v>
      </c>
      <c r="N11" s="9">
        <v>0</v>
      </c>
      <c r="O11" s="9">
        <f>O10</f>
        <v>-2161.4285714285716</v>
      </c>
      <c r="P11" s="9">
        <v>5</v>
      </c>
      <c r="Q11" s="9">
        <v>5</v>
      </c>
      <c r="R11" s="8">
        <v>59441.2</v>
      </c>
      <c r="S11" s="8">
        <f>(R11*0.75)*SQRT(P11^2)</f>
        <v>222904.49999999997</v>
      </c>
      <c r="T11" s="1"/>
    </row>
    <row r="12" spans="1:20" ht="15" x14ac:dyDescent="0.25">
      <c r="A12" s="12"/>
      <c r="B12" s="10">
        <v>9</v>
      </c>
      <c r="C12" s="8">
        <f>S12*0.00283</f>
        <v>630.81973499999992</v>
      </c>
      <c r="D12" s="9">
        <f>D11+([3]INPUTS!$G$5-533.4-[3]INPUTS!$G$4)/16</f>
        <v>22706.012500000001</v>
      </c>
      <c r="E12" s="9">
        <f>E11</f>
        <v>-257.62777777777779</v>
      </c>
      <c r="F12" s="9">
        <f>[2]SIDE_PANELS!F12</f>
        <v>-2143.4562834914755</v>
      </c>
      <c r="G12" s="9">
        <f>D12</f>
        <v>22706.012500000001</v>
      </c>
      <c r="H12" s="9">
        <f>E12</f>
        <v>-257.62777777777779</v>
      </c>
      <c r="I12" s="9">
        <f>F12+225+AVERAGE([1]TOP_PANEL!$P$4:$P$19)</f>
        <v>-1921.7062834914755</v>
      </c>
      <c r="J12" s="9">
        <f>D12</f>
        <v>22706.012500000001</v>
      </c>
      <c r="K12" s="9">
        <v>0</v>
      </c>
      <c r="L12" s="9">
        <f>I12</f>
        <v>-1921.7062834914755</v>
      </c>
      <c r="M12" s="9">
        <f>D12</f>
        <v>22706.012500000001</v>
      </c>
      <c r="N12" s="9">
        <v>0</v>
      </c>
      <c r="O12" s="9">
        <f>O11</f>
        <v>-2161.4285714285716</v>
      </c>
      <c r="P12" s="9">
        <v>5</v>
      </c>
      <c r="Q12" s="9">
        <v>5</v>
      </c>
      <c r="R12" s="8">
        <v>59441.2</v>
      </c>
      <c r="S12" s="8">
        <f>(R12*0.75)*SQRT(P12^2)</f>
        <v>222904.49999999997</v>
      </c>
      <c r="T12" s="1"/>
    </row>
    <row r="13" spans="1:20" ht="15" x14ac:dyDescent="0.25">
      <c r="A13" s="12"/>
      <c r="B13" s="10">
        <v>10</v>
      </c>
      <c r="C13" s="8">
        <f>S13*0.00283</f>
        <v>1261.6394699999998</v>
      </c>
      <c r="D13" s="9">
        <f>D12+([3]INPUTS!$G$5-533.4-[3]INPUTS!$G$4)/16</f>
        <v>23047.325000000001</v>
      </c>
      <c r="E13" s="9">
        <f>E12</f>
        <v>-257.62777777777779</v>
      </c>
      <c r="F13" s="9">
        <f>[2]SIDE_PANELS!F13</f>
        <v>-2143.4562834914755</v>
      </c>
      <c r="G13" s="9">
        <f>D13</f>
        <v>23047.325000000001</v>
      </c>
      <c r="H13" s="9">
        <f>E13</f>
        <v>-257.62777777777779</v>
      </c>
      <c r="I13" s="9">
        <f>F13+225+AVERAGE([1]TOP_PANEL!$P$4:$P$19)</f>
        <v>-1921.7062834914755</v>
      </c>
      <c r="J13" s="9">
        <f>D13</f>
        <v>23047.325000000001</v>
      </c>
      <c r="K13" s="9">
        <v>0</v>
      </c>
      <c r="L13" s="9">
        <f>I13</f>
        <v>-1921.7062834914755</v>
      </c>
      <c r="M13" s="9">
        <f>D13</f>
        <v>23047.325000000001</v>
      </c>
      <c r="N13" s="9">
        <v>0</v>
      </c>
      <c r="O13" s="9">
        <f>O12</f>
        <v>-2161.4285714285716</v>
      </c>
      <c r="P13" s="9">
        <v>10</v>
      </c>
      <c r="Q13" s="9">
        <v>10</v>
      </c>
      <c r="R13" s="8">
        <v>59441.2</v>
      </c>
      <c r="S13" s="8">
        <f>(R13*0.75)*SQRT(P13^2)</f>
        <v>445808.99999999994</v>
      </c>
      <c r="T13" s="1"/>
    </row>
    <row r="14" spans="1:20" ht="15" x14ac:dyDescent="0.25">
      <c r="A14" s="12"/>
      <c r="B14" s="10">
        <v>11</v>
      </c>
      <c r="C14" s="8">
        <f>S14*0.00283</f>
        <v>630.81973499999992</v>
      </c>
      <c r="D14" s="9">
        <f>D13+([3]INPUTS!$G$5-533.4-[3]INPUTS!$G$4)/16</f>
        <v>23388.637500000001</v>
      </c>
      <c r="E14" s="9">
        <f>E13</f>
        <v>-257.62777777777779</v>
      </c>
      <c r="F14" s="9">
        <f>[2]SIDE_PANELS!F14</f>
        <v>-2143.4562834914755</v>
      </c>
      <c r="G14" s="9">
        <f>D14</f>
        <v>23388.637500000001</v>
      </c>
      <c r="H14" s="9">
        <f>E14</f>
        <v>-257.62777777777779</v>
      </c>
      <c r="I14" s="9">
        <f>F14+225+AVERAGE([1]TOP_PANEL!$P$4:$P$19)</f>
        <v>-1921.7062834914755</v>
      </c>
      <c r="J14" s="9">
        <f>D14</f>
        <v>23388.637500000001</v>
      </c>
      <c r="K14" s="9">
        <v>0</v>
      </c>
      <c r="L14" s="9">
        <f>I14</f>
        <v>-1921.7062834914755</v>
      </c>
      <c r="M14" s="9">
        <f>D14</f>
        <v>23388.637500000001</v>
      </c>
      <c r="N14" s="9">
        <v>0</v>
      </c>
      <c r="O14" s="9">
        <f>O13</f>
        <v>-2161.4285714285716</v>
      </c>
      <c r="P14" s="9">
        <v>5</v>
      </c>
      <c r="Q14" s="9">
        <v>5</v>
      </c>
      <c r="R14" s="8">
        <v>59441.2</v>
      </c>
      <c r="S14" s="8">
        <f>(R14*0.75)*SQRT(P14^2)</f>
        <v>222904.49999999997</v>
      </c>
      <c r="T14" s="1"/>
    </row>
    <row r="15" spans="1:20" ht="15" x14ac:dyDescent="0.25">
      <c r="A15" s="12"/>
      <c r="B15" s="10">
        <v>12</v>
      </c>
      <c r="C15" s="8">
        <f>S15*0.00283</f>
        <v>630.81973499999992</v>
      </c>
      <c r="D15" s="9">
        <f>D14+([3]INPUTS!$G$5-533.4-[3]INPUTS!$G$4)/16</f>
        <v>23729.95</v>
      </c>
      <c r="E15" s="9">
        <f>E14</f>
        <v>-257.62777777777779</v>
      </c>
      <c r="F15" s="9">
        <f>[2]SIDE_PANELS!F15</f>
        <v>-2143.4562834914755</v>
      </c>
      <c r="G15" s="9">
        <f>D15</f>
        <v>23729.95</v>
      </c>
      <c r="H15" s="9">
        <f>E15</f>
        <v>-257.62777777777779</v>
      </c>
      <c r="I15" s="9">
        <f>F15+225+AVERAGE([1]TOP_PANEL!$P$4:$P$19)</f>
        <v>-1921.7062834914755</v>
      </c>
      <c r="J15" s="9">
        <f>D15</f>
        <v>23729.95</v>
      </c>
      <c r="K15" s="9">
        <v>0</v>
      </c>
      <c r="L15" s="9">
        <f>I15</f>
        <v>-1921.7062834914755</v>
      </c>
      <c r="M15" s="9">
        <f>D15</f>
        <v>23729.95</v>
      </c>
      <c r="N15" s="9">
        <v>0</v>
      </c>
      <c r="O15" s="9">
        <f>O14</f>
        <v>-2161.4285714285716</v>
      </c>
      <c r="P15" s="9">
        <v>5</v>
      </c>
      <c r="Q15" s="9">
        <v>5</v>
      </c>
      <c r="R15" s="8">
        <v>59441.2</v>
      </c>
      <c r="S15" s="8">
        <f>(R15*0.75)*SQRT(P15^2)</f>
        <v>222904.49999999997</v>
      </c>
      <c r="T15" s="1"/>
    </row>
    <row r="16" spans="1:20" ht="15" x14ac:dyDescent="0.25">
      <c r="A16" s="12"/>
      <c r="B16" s="10">
        <v>13</v>
      </c>
      <c r="C16" s="8">
        <f>S16*0.00283</f>
        <v>630.81973499999992</v>
      </c>
      <c r="D16" s="9">
        <f>D15+([3]INPUTS!$G$5-533.4-[3]INPUTS!$G$4)/16</f>
        <v>24071.262500000001</v>
      </c>
      <c r="E16" s="9">
        <f>E15</f>
        <v>-257.62777777777779</v>
      </c>
      <c r="F16" s="9">
        <f>[2]SIDE_PANELS!F16</f>
        <v>-2143.4562834914755</v>
      </c>
      <c r="G16" s="9">
        <f>D16</f>
        <v>24071.262500000001</v>
      </c>
      <c r="H16" s="9">
        <f>E16</f>
        <v>-257.62777777777779</v>
      </c>
      <c r="I16" s="9">
        <f>F16+225+AVERAGE([1]TOP_PANEL!$P$4:$P$19)</f>
        <v>-1921.7062834914755</v>
      </c>
      <c r="J16" s="9">
        <f>D16</f>
        <v>24071.262500000001</v>
      </c>
      <c r="K16" s="9">
        <v>0</v>
      </c>
      <c r="L16" s="9">
        <f>I16</f>
        <v>-1921.7062834914755</v>
      </c>
      <c r="M16" s="9">
        <f>D16</f>
        <v>24071.262500000001</v>
      </c>
      <c r="N16" s="9">
        <v>0</v>
      </c>
      <c r="O16" s="9">
        <f>O15</f>
        <v>-2161.4285714285716</v>
      </c>
      <c r="P16" s="9">
        <v>5</v>
      </c>
      <c r="Q16" s="9">
        <v>5</v>
      </c>
      <c r="R16" s="8">
        <v>59441.2</v>
      </c>
      <c r="S16" s="8">
        <f>(R16*0.75)*SQRT(P16^2)</f>
        <v>222904.49999999997</v>
      </c>
      <c r="T16" s="1"/>
    </row>
    <row r="17" spans="1:20" ht="15" x14ac:dyDescent="0.25">
      <c r="A17" s="12"/>
      <c r="B17" s="10">
        <v>14</v>
      </c>
      <c r="C17" s="8">
        <f>S17*0.00283</f>
        <v>1261.6394699999998</v>
      </c>
      <c r="D17" s="9">
        <f>D16+([3]INPUTS!$G$5-533.4-[3]INPUTS!$G$4)/16</f>
        <v>24412.575000000001</v>
      </c>
      <c r="E17" s="9">
        <f>E16</f>
        <v>-257.62777777777779</v>
      </c>
      <c r="F17" s="9">
        <f>[2]SIDE_PANELS!F17</f>
        <v>-2143.4562834914755</v>
      </c>
      <c r="G17" s="9">
        <f>D17</f>
        <v>24412.575000000001</v>
      </c>
      <c r="H17" s="9">
        <f>E17</f>
        <v>-257.62777777777779</v>
      </c>
      <c r="I17" s="9">
        <f>F17+225+AVERAGE([1]TOP_PANEL!$P$4:$P$19)</f>
        <v>-1921.7062834914755</v>
      </c>
      <c r="J17" s="9">
        <f>D17</f>
        <v>24412.575000000001</v>
      </c>
      <c r="K17" s="9">
        <v>0</v>
      </c>
      <c r="L17" s="9">
        <f>I17</f>
        <v>-1921.7062834914755</v>
      </c>
      <c r="M17" s="9">
        <f>D17</f>
        <v>24412.575000000001</v>
      </c>
      <c r="N17" s="9">
        <v>0</v>
      </c>
      <c r="O17" s="9">
        <f>O16</f>
        <v>-2161.4285714285716</v>
      </c>
      <c r="P17" s="9">
        <v>10</v>
      </c>
      <c r="Q17" s="9">
        <v>10</v>
      </c>
      <c r="R17" s="8">
        <v>59441.2</v>
      </c>
      <c r="S17" s="8">
        <f>(R17*0.75)*SQRT(P17^2)</f>
        <v>445808.99999999994</v>
      </c>
      <c r="T17" s="1"/>
    </row>
    <row r="18" spans="1:20" ht="15" x14ac:dyDescent="0.25">
      <c r="A18" s="11"/>
      <c r="B18" s="10">
        <v>15</v>
      </c>
      <c r="C18" s="8">
        <f>S18*0.00283</f>
        <v>630.81973499999992</v>
      </c>
      <c r="D18" s="9">
        <f>D17+([3]INPUTS!$G$5-533.4-[3]INPUTS!$G$4)/16</f>
        <v>24753.887500000001</v>
      </c>
      <c r="E18" s="9">
        <f>E17</f>
        <v>-257.62777777777779</v>
      </c>
      <c r="F18" s="9">
        <f>[2]SIDE_PANELS!F18</f>
        <v>-2143.4562834914755</v>
      </c>
      <c r="G18" s="9">
        <f>D18</f>
        <v>24753.887500000001</v>
      </c>
      <c r="H18" s="9">
        <f>E18</f>
        <v>-257.62777777777779</v>
      </c>
      <c r="I18" s="9">
        <f>F18+225+AVERAGE([1]TOP_PANEL!$P$4:$P$19)</f>
        <v>-1921.7062834914755</v>
      </c>
      <c r="J18" s="9">
        <f>D18</f>
        <v>24753.887500000001</v>
      </c>
      <c r="K18" s="9">
        <v>0</v>
      </c>
      <c r="L18" s="9">
        <f>I18</f>
        <v>-1921.7062834914755</v>
      </c>
      <c r="M18" s="9">
        <f>D18</f>
        <v>24753.887500000001</v>
      </c>
      <c r="N18" s="9">
        <v>0</v>
      </c>
      <c r="O18" s="9">
        <f>O17</f>
        <v>-2161.4285714285716</v>
      </c>
      <c r="P18" s="9">
        <v>5</v>
      </c>
      <c r="Q18" s="9">
        <v>5</v>
      </c>
      <c r="R18" s="8">
        <v>59441.2</v>
      </c>
      <c r="S18" s="8">
        <f>(R18*0.75)*SQRT(P18^2)</f>
        <v>222904.49999999997</v>
      </c>
      <c r="T18" s="1"/>
    </row>
    <row r="19" spans="1:20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 x14ac:dyDescent="0.3">
      <c r="A20" s="1"/>
      <c r="B20" s="7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" x14ac:dyDescent="0.25">
      <c r="A22" s="1"/>
      <c r="B22" s="1" t="s">
        <v>6</v>
      </c>
      <c r="C22" s="1"/>
      <c r="D22" s="1"/>
      <c r="E22" s="6">
        <v>90295</v>
      </c>
      <c r="F22" s="1" t="s">
        <v>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3">
      <c r="A23" s="1"/>
      <c r="B23" s="1" t="s">
        <v>5</v>
      </c>
      <c r="C23" s="2"/>
      <c r="D23" s="2"/>
      <c r="E23" s="6">
        <f>59175*2</f>
        <v>118350</v>
      </c>
      <c r="F23" s="1" t="s">
        <v>4</v>
      </c>
      <c r="G23" s="5" t="s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" x14ac:dyDescent="0.25">
      <c r="A24" s="1"/>
      <c r="B24" s="1" t="s">
        <v>2</v>
      </c>
      <c r="C24" s="1"/>
      <c r="D24" s="1"/>
      <c r="E24" s="4">
        <f>(1-E22/E23)*100</f>
        <v>23.705111956062531</v>
      </c>
      <c r="F24" s="1" t="s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" x14ac:dyDescent="0.25">
      <c r="A26" s="1"/>
      <c r="B26" s="1" t="s"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" x14ac:dyDescent="0.25">
      <c r="A27" s="1"/>
      <c r="B27" s="1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" x14ac:dyDescent="0.25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" x14ac:dyDescent="0.25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" x14ac:dyDescent="0.2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" x14ac:dyDescent="0.2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" x14ac:dyDescent="0.2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</row>
    <row r="54" spans="1:2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</row>
    <row r="56" spans="1:2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</row>
    <row r="57" spans="1:2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</row>
    <row r="58" spans="1:2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</row>
    <row r="59" spans="1:2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</row>
    <row r="60" spans="1:2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</row>
    <row r="61" spans="1:2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</row>
    <row r="62" spans="1:2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</row>
    <row r="63" spans="1:2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</row>
    <row r="64" spans="1:2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</row>
    <row r="65" spans="1:2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</row>
    <row r="66" spans="1:2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</row>
    <row r="67" spans="1:2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</row>
    <row r="68" spans="1:2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</row>
    <row r="69" spans="1:2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</sheetData>
  <mergeCells count="1">
    <mergeCell ref="A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2026-03-17T16:06:19Z</dcterms:created>
  <dcterms:modified xsi:type="dcterms:W3CDTF">2026-03-17T16:06:42Z</dcterms:modified>
</cp:coreProperties>
</file>