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ython\weight tool\data\keel_beam\"/>
    </mc:Choice>
  </mc:AlternateContent>
  <xr:revisionPtr revIDLastSave="0" documentId="13_ncr:1_{B3EAACAA-1714-4D72-B449-855226944A1F}" xr6:coauthVersionLast="47" xr6:coauthVersionMax="47" xr10:uidLastSave="{00000000-0000-0000-0000-000000000000}"/>
  <bookViews>
    <workbookView xWindow="-108" yWindow="-108" windowWidth="23256" windowHeight="12456" xr2:uid="{ECABC73A-B905-4981-9D3F-83C540A858F2}"/>
  </bookViews>
  <sheets>
    <sheet name="BTM_PANEL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G4" i="1" s="1"/>
  <c r="F4" i="1"/>
  <c r="F7" i="1" s="1"/>
  <c r="H4" i="1"/>
  <c r="I4" i="1"/>
  <c r="K4" i="1"/>
  <c r="L4" i="1"/>
  <c r="M4" i="1"/>
  <c r="D5" i="1" s="1"/>
  <c r="O4" i="1"/>
  <c r="O6" i="1" s="1"/>
  <c r="Q4" i="1"/>
  <c r="R4" i="1"/>
  <c r="T4" i="1"/>
  <c r="U4" i="1"/>
  <c r="W4" i="1"/>
  <c r="Y4" i="1"/>
  <c r="C4" i="1" s="1"/>
  <c r="C5" i="1"/>
  <c r="H5" i="1"/>
  <c r="Q5" i="1" s="1"/>
  <c r="I5" i="1"/>
  <c r="K5" i="1"/>
  <c r="T5" i="1" s="1"/>
  <c r="L5" i="1"/>
  <c r="U5" i="1" s="1"/>
  <c r="M5" i="1"/>
  <c r="D6" i="1" s="1"/>
  <c r="R5" i="1"/>
  <c r="W5" i="1"/>
  <c r="Y5" i="1"/>
  <c r="H6" i="1"/>
  <c r="Q6" i="1" s="1"/>
  <c r="H7" i="1" s="1"/>
  <c r="I6" i="1"/>
  <c r="R6" i="1" s="1"/>
  <c r="I7" i="1" s="1"/>
  <c r="K6" i="1"/>
  <c r="L6" i="1"/>
  <c r="U6" i="1" s="1"/>
  <c r="L7" i="1" s="1"/>
  <c r="M6" i="1"/>
  <c r="P6" i="1" s="1"/>
  <c r="T6" i="1"/>
  <c r="K7" i="1" s="1"/>
  <c r="W6" i="1"/>
  <c r="Y6" i="1"/>
  <c r="C6" i="1" s="1"/>
  <c r="C7" i="1"/>
  <c r="M7" i="1"/>
  <c r="D8" i="1" s="1"/>
  <c r="P7" i="1"/>
  <c r="G8" i="1" s="1"/>
  <c r="Q7" i="1"/>
  <c r="H8" i="1" s="1"/>
  <c r="R7" i="1"/>
  <c r="I8" i="1" s="1"/>
  <c r="T7" i="1"/>
  <c r="K8" i="1" s="1"/>
  <c r="U7" i="1"/>
  <c r="L8" i="1" s="1"/>
  <c r="W7" i="1"/>
  <c r="Y7" i="1"/>
  <c r="M8" i="1"/>
  <c r="D9" i="1" s="1"/>
  <c r="Q8" i="1"/>
  <c r="H9" i="1" s="1"/>
  <c r="R8" i="1"/>
  <c r="I9" i="1" s="1"/>
  <c r="S8" i="1"/>
  <c r="J9" i="1" s="1"/>
  <c r="T8" i="1"/>
  <c r="K9" i="1" s="1"/>
  <c r="U8" i="1"/>
  <c r="L9" i="1" s="1"/>
  <c r="W8" i="1"/>
  <c r="Y8" i="1"/>
  <c r="C8" i="1" s="1"/>
  <c r="C9" i="1"/>
  <c r="M9" i="1"/>
  <c r="S9" i="1" s="1"/>
  <c r="J10" i="1" s="1"/>
  <c r="P9" i="1"/>
  <c r="G10" i="1" s="1"/>
  <c r="Q9" i="1"/>
  <c r="H10" i="1" s="1"/>
  <c r="Q10" i="1" s="1"/>
  <c r="R9" i="1"/>
  <c r="I10" i="1" s="1"/>
  <c r="R10" i="1" s="1"/>
  <c r="T9" i="1"/>
  <c r="K10" i="1" s="1"/>
  <c r="T10" i="1" s="1"/>
  <c r="U9" i="1"/>
  <c r="L10" i="1" s="1"/>
  <c r="U10" i="1" s="1"/>
  <c r="W9" i="1"/>
  <c r="Y9" i="1"/>
  <c r="C10" i="1"/>
  <c r="M10" i="1"/>
  <c r="P10" i="1"/>
  <c r="S10" i="1"/>
  <c r="W10" i="1"/>
  <c r="Y10" i="1"/>
  <c r="F9" i="1" l="1"/>
  <c r="F10" i="1"/>
  <c r="F5" i="1"/>
  <c r="S7" i="1"/>
  <c r="J8" i="1" s="1"/>
  <c r="F8" i="1"/>
  <c r="F6" i="1"/>
  <c r="P4" i="1"/>
  <c r="J4" i="1"/>
  <c r="P5" i="1"/>
  <c r="S5" i="1"/>
  <c r="G6" i="1"/>
  <c r="J6" i="1"/>
  <c r="J5" i="1"/>
  <c r="G5" i="1"/>
  <c r="D10" i="1"/>
  <c r="O7" i="1"/>
  <c r="S6" i="1"/>
  <c r="P8" i="1"/>
  <c r="G9" i="1" s="1"/>
  <c r="O8" i="1"/>
  <c r="S4" i="1"/>
  <c r="D7" i="1"/>
  <c r="O9" i="1"/>
  <c r="O10" i="1"/>
  <c r="O5" i="1"/>
  <c r="G7" i="1" l="1"/>
  <c r="J7" i="1"/>
</calcChain>
</file>

<file path=xl/sharedStrings.xml><?xml version="1.0" encoding="utf-8"?>
<sst xmlns="http://schemas.openxmlformats.org/spreadsheetml/2006/main" count="30" uniqueCount="30">
  <si>
    <t>AFT BTM PNL</t>
  </si>
  <si>
    <t>MID PNL</t>
  </si>
  <si>
    <t>FWD BTM PNL</t>
  </si>
  <si>
    <t>Volume (mm^3)</t>
  </si>
  <si>
    <t>Area (mm^2)</t>
  </si>
  <si>
    <t>Th2</t>
  </si>
  <si>
    <t>Th1</t>
  </si>
  <si>
    <t>Z6</t>
  </si>
  <si>
    <t>Y6</t>
  </si>
  <si>
    <t>X6</t>
  </si>
  <si>
    <t>Z5</t>
  </si>
  <si>
    <t>Y5</t>
  </si>
  <si>
    <t>X5</t>
  </si>
  <si>
    <t>Z4</t>
  </si>
  <si>
    <t>Y4</t>
  </si>
  <si>
    <t>X4</t>
  </si>
  <si>
    <t>Z3</t>
  </si>
  <si>
    <t>Y3</t>
  </si>
  <si>
    <t>X3</t>
  </si>
  <si>
    <t>Z2</t>
  </si>
  <si>
    <t>Y2</t>
  </si>
  <si>
    <t>X2</t>
  </si>
  <si>
    <t>Z1</t>
  </si>
  <si>
    <t>Y1</t>
  </si>
  <si>
    <t>X1</t>
  </si>
  <si>
    <t>Mass</t>
  </si>
  <si>
    <t>CPL</t>
  </si>
  <si>
    <t>SYM</t>
  </si>
  <si>
    <t>All mass values in Grammes</t>
  </si>
  <si>
    <t>BOTTOM PANEL PRIMITIVES GEOMETRY - all units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</si>
</sst>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2"/>
      <color rgb="FF000000"/>
      <name val="Arial"/>
      <scheme val="minor"/>
    </font>
    <font>
      <i/>
      <sz val="12"/>
      <color rgb="FF000000"/>
      <name val="Arial"/>
      <scheme val="minor"/>
    </font>
    <font>
      <b/>
      <sz val="12"/>
      <color rgb="FF000000"/>
      <name val="Arial"/>
      <scheme val="minor"/>
    </font>
    <font>
      <b/>
      <sz val="12"/>
      <color rgb="FF000000"/>
      <name val="Arial"/>
    </font>
    <font>
      <sz val="12"/>
      <color rgb="FF000000"/>
      <name val="Arial"/>
    </font>
    <font>
      <sz val="10"/>
      <name val="Arial"/>
    </font>
    <font>
      <b/>
      <sz val="12"/>
      <color rgb="FFFF0000"/>
      <name val="Arial"/>
      <scheme val="minor"/>
    </font>
    <font>
      <sz val="12"/>
      <color rgb="FFFF0000"/>
      <name val="Arial"/>
      <scheme val="minor"/>
    </font>
    <font>
      <i/>
      <sz val="12"/>
      <color rgb="FFFF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1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165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/>
    <xf numFmtId="1" fontId="2" fillId="0" borderId="0" xfId="0" applyNumberFormat="1" applyFont="1"/>
    <xf numFmtId="0" fontId="6" fillId="0" borderId="0" xfId="0" applyFont="1"/>
    <xf numFmtId="0" fontId="1" fillId="0" borderId="0" xfId="0" applyFont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4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8" fillId="3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7" fillId="0" borderId="2" xfId="0" applyFont="1" applyBorder="1"/>
    <xf numFmtId="0" fontId="2" fillId="0" borderId="4" xfId="0" applyFont="1" applyBorder="1" applyAlignment="1">
      <alignment horizontal="center" vertical="center" textRotation="90" wrapText="1"/>
    </xf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1000125</xdr:colOff>
      <xdr:row>11</xdr:row>
      <xdr:rowOff>9525</xdr:rowOff>
    </xdr:from>
    <xdr:ext cx="5076825" cy="31432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A10AE3AD-6954-41AD-AB46-E7F9E5FE8F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0585" y="1853565"/>
          <a:ext cx="5076825" cy="31432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INPUTS.xlsx" TargetMode="External"/><Relationship Id="rId1" Type="http://schemas.openxmlformats.org/officeDocument/2006/relationships/externalLinkPath" Target="INPU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GEOMETRY_PROCESSING.xlsx" TargetMode="External"/><Relationship Id="rId1" Type="http://schemas.openxmlformats.org/officeDocument/2006/relationships/externalLinkPath" Target="GEOMETRY_PROCESS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</sheetNames>
    <sheetDataSet>
      <sheetData sheetId="0">
        <row r="4">
          <cell r="G4">
            <v>19634.2</v>
          </cell>
        </row>
        <row r="5">
          <cell r="G5">
            <v>25628.6</v>
          </cell>
        </row>
        <row r="56">
          <cell r="C56">
            <v>19634.2</v>
          </cell>
          <cell r="E56">
            <v>-2166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OMETRY_PROCESSING"/>
    </sheetNames>
    <sheetDataSet>
      <sheetData sheetId="0">
        <row r="6">
          <cell r="C6">
            <v>-877.37949133175096</v>
          </cell>
        </row>
        <row r="8">
          <cell r="C8">
            <v>-1954.5498616810296</v>
          </cell>
        </row>
        <row r="12">
          <cell r="C12">
            <v>-449.61577078647377</v>
          </cell>
        </row>
        <row r="14">
          <cell r="C14">
            <v>-2112.7844666859251</v>
          </cell>
        </row>
        <row r="18">
          <cell r="C18">
            <v>-301.29277966748464</v>
          </cell>
        </row>
        <row r="20">
          <cell r="C20">
            <v>-2142.2877439862355</v>
          </cell>
        </row>
        <row r="24">
          <cell r="C24">
            <v>-151.11221837182936</v>
          </cell>
        </row>
        <row r="26">
          <cell r="C26">
            <v>-2160.0627847700043</v>
          </cell>
        </row>
        <row r="30">
          <cell r="C30">
            <v>-400.43791651500442</v>
          </cell>
        </row>
        <row r="32">
          <cell r="C32">
            <v>-2123.9122790133097</v>
          </cell>
        </row>
        <row r="36">
          <cell r="C36">
            <v>-201.32182025350056</v>
          </cell>
        </row>
        <row r="38">
          <cell r="C38">
            <v>-2155.4491704792945</v>
          </cell>
        </row>
        <row r="42">
          <cell r="C42">
            <v>-530.87754730354038</v>
          </cell>
        </row>
        <row r="44">
          <cell r="C44">
            <v>-2091.390026377202</v>
          </cell>
        </row>
        <row r="48">
          <cell r="C48">
            <v>-268.04739244908603</v>
          </cell>
        </row>
        <row r="50">
          <cell r="C50">
            <v>-2147.2563003962646</v>
          </cell>
        </row>
        <row r="54">
          <cell r="C54">
            <v>-962.99999999999989</v>
          </cell>
        </row>
        <row r="56">
          <cell r="C56">
            <v>-1907.964927688829</v>
          </cell>
        </row>
        <row r="60">
          <cell r="C60">
            <v>-498.48548086745495</v>
          </cell>
        </row>
        <row r="62">
          <cell r="C62">
            <v>-2100.3731414327458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091D-65FA-47F7-95F3-767D60C1CE3F}">
  <sheetPr>
    <outlinePr summaryBelow="0" summaryRight="0"/>
  </sheetPr>
  <dimension ref="A1:AI1000"/>
  <sheetViews>
    <sheetView tabSelected="1" workbookViewId="0">
      <selection activeCell="H12" sqref="H12"/>
    </sheetView>
  </sheetViews>
  <sheetFormatPr defaultColWidth="12.6640625" defaultRowHeight="15.75" customHeight="1" x14ac:dyDescent="0.25"/>
  <cols>
    <col min="1" max="1" width="14.88671875" customWidth="1"/>
    <col min="2" max="2" width="12.6640625" customWidth="1"/>
    <col min="3" max="3" width="14.88671875" customWidth="1"/>
    <col min="7" max="10" width="14.6640625" customWidth="1"/>
    <col min="24" max="25" width="17.88671875" customWidth="1"/>
  </cols>
  <sheetData>
    <row r="1" spans="1:35" ht="15.75" customHeight="1" x14ac:dyDescent="0.3">
      <c r="A1" s="1"/>
      <c r="B1" s="10" t="s">
        <v>29</v>
      </c>
      <c r="C1" s="1"/>
      <c r="D1" s="1"/>
      <c r="E1" s="1"/>
      <c r="F1" s="1"/>
      <c r="G1" s="31" t="s">
        <v>28</v>
      </c>
      <c r="H1" s="30"/>
      <c r="I1" s="29" t="s">
        <v>27</v>
      </c>
      <c r="J1" s="29" t="b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5.75" customHeight="1" x14ac:dyDescent="0.3">
      <c r="A3" s="1"/>
      <c r="B3" s="28" t="s">
        <v>26</v>
      </c>
      <c r="C3" s="27" t="s">
        <v>25</v>
      </c>
      <c r="D3" s="27" t="s">
        <v>24</v>
      </c>
      <c r="E3" s="27" t="s">
        <v>23</v>
      </c>
      <c r="F3" s="27" t="s">
        <v>22</v>
      </c>
      <c r="G3" s="26" t="s">
        <v>21</v>
      </c>
      <c r="H3" s="26" t="s">
        <v>20</v>
      </c>
      <c r="I3" s="26" t="s">
        <v>19</v>
      </c>
      <c r="J3" s="25" t="s">
        <v>18</v>
      </c>
      <c r="K3" s="25" t="s">
        <v>17</v>
      </c>
      <c r="L3" s="25" t="s">
        <v>16</v>
      </c>
      <c r="M3" s="24" t="s">
        <v>15</v>
      </c>
      <c r="N3" s="24" t="s">
        <v>14</v>
      </c>
      <c r="O3" s="24" t="s">
        <v>13</v>
      </c>
      <c r="P3" s="23" t="s">
        <v>12</v>
      </c>
      <c r="Q3" s="23" t="s">
        <v>11</v>
      </c>
      <c r="R3" s="23" t="s">
        <v>10</v>
      </c>
      <c r="S3" s="22" t="s">
        <v>9</v>
      </c>
      <c r="T3" s="22" t="s">
        <v>8</v>
      </c>
      <c r="U3" s="22" t="s">
        <v>7</v>
      </c>
      <c r="V3" s="22" t="s">
        <v>6</v>
      </c>
      <c r="W3" s="22" t="s">
        <v>5</v>
      </c>
      <c r="X3" s="21" t="s">
        <v>4</v>
      </c>
      <c r="Y3" s="21" t="s">
        <v>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</row>
    <row r="4" spans="1:35" ht="15" x14ac:dyDescent="0.25">
      <c r="A4" s="19" t="s">
        <v>2</v>
      </c>
      <c r="B4" s="16">
        <v>1</v>
      </c>
      <c r="C4" s="18">
        <f t="shared" ref="C4:C10" si="0">Y4*0.00283</f>
        <v>3826.16</v>
      </c>
      <c r="D4" s="17">
        <f>[1]INPUTS!C56</f>
        <v>19634.2</v>
      </c>
      <c r="E4" s="17">
        <v>0</v>
      </c>
      <c r="F4" s="17">
        <f>[1]INPUTS!E56</f>
        <v>-2166</v>
      </c>
      <c r="G4" s="17">
        <f>D4</f>
        <v>19634.2</v>
      </c>
      <c r="H4" s="17">
        <f>[2]GEOMETRY_PROCESSING!C12</f>
        <v>-449.61577078647377</v>
      </c>
      <c r="I4" s="17">
        <f>[2]GEOMETRY_PROCESSING!C14</f>
        <v>-2112.7844666859251</v>
      </c>
      <c r="J4" s="17">
        <f>D4</f>
        <v>19634.2</v>
      </c>
      <c r="K4" s="17">
        <f>[2]GEOMETRY_PROCESSING!C6</f>
        <v>-877.37949133175096</v>
      </c>
      <c r="L4" s="17">
        <f>[2]GEOMETRY_PROCESSING!C8</f>
        <v>-1954.5498616810296</v>
      </c>
      <c r="M4" s="17">
        <f>[1]INPUTS!$C$56+750</f>
        <v>20384.2</v>
      </c>
      <c r="N4" s="17">
        <v>0</v>
      </c>
      <c r="O4" s="17">
        <f>[1]INPUTS!E56</f>
        <v>-2166</v>
      </c>
      <c r="P4" s="17">
        <f t="shared" ref="P4:P10" si="1">M4</f>
        <v>20384.2</v>
      </c>
      <c r="Q4" s="17">
        <f>[2]GEOMETRY_PROCESSING!C24</f>
        <v>-151.11221837182936</v>
      </c>
      <c r="R4" s="17">
        <f>[2]GEOMETRY_PROCESSING!C26</f>
        <v>-2160.0627847700043</v>
      </c>
      <c r="S4" s="17">
        <f t="shared" ref="S4:S10" si="2">M4</f>
        <v>20384.2</v>
      </c>
      <c r="T4" s="17">
        <f>[2]GEOMETRY_PROCESSING!C18</f>
        <v>-301.29277966748464</v>
      </c>
      <c r="U4" s="17">
        <f>[2]GEOMETRY_PROCESSING!C20</f>
        <v>-2142.2877439862355</v>
      </c>
      <c r="V4" s="17">
        <v>3</v>
      </c>
      <c r="W4" s="17">
        <f t="shared" ref="W4:W10" si="3">V4</f>
        <v>3</v>
      </c>
      <c r="X4" s="18">
        <v>450666.66666666669</v>
      </c>
      <c r="Y4" s="16">
        <f t="shared" ref="Y4:Y10" si="4">X4*SQRT(V4^2)</f>
        <v>1352000</v>
      </c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15" x14ac:dyDescent="0.25">
      <c r="A5" s="32" t="s">
        <v>1</v>
      </c>
      <c r="B5" s="16">
        <v>2</v>
      </c>
      <c r="C5" s="18">
        <f t="shared" si="0"/>
        <v>9620.2878500000006</v>
      </c>
      <c r="D5" s="17">
        <f t="shared" ref="D5:D10" si="5">M4</f>
        <v>20384.2</v>
      </c>
      <c r="E5" s="17">
        <v>0</v>
      </c>
      <c r="F5" s="17">
        <f>F4</f>
        <v>-2166</v>
      </c>
      <c r="G5" s="17">
        <f>D5</f>
        <v>20384.2</v>
      </c>
      <c r="H5" s="17">
        <f>[2]GEOMETRY_PROCESSING!C24</f>
        <v>-151.11221837182936</v>
      </c>
      <c r="I5" s="17">
        <f>[2]GEOMETRY_PROCESSING!C26</f>
        <v>-2160.0627847700043</v>
      </c>
      <c r="J5" s="17">
        <f>D5</f>
        <v>20384.2</v>
      </c>
      <c r="K5" s="17">
        <f>[2]GEOMETRY_PROCESSING!C18</f>
        <v>-301.29277966748464</v>
      </c>
      <c r="L5" s="17">
        <f>[2]GEOMETRY_PROCESSING!C20</f>
        <v>-2142.2877439862355</v>
      </c>
      <c r="M5" s="17">
        <f>([1]INPUTS!G4+[1]INPUTS!G5)/2</f>
        <v>22631.4</v>
      </c>
      <c r="N5" s="17">
        <v>0</v>
      </c>
      <c r="O5" s="17">
        <f>O4</f>
        <v>-2166</v>
      </c>
      <c r="P5" s="17">
        <f t="shared" si="1"/>
        <v>22631.4</v>
      </c>
      <c r="Q5" s="17">
        <f>H5</f>
        <v>-151.11221837182936</v>
      </c>
      <c r="R5" s="17">
        <f>I5</f>
        <v>-2160.0627847700043</v>
      </c>
      <c r="S5" s="17">
        <f t="shared" si="2"/>
        <v>22631.4</v>
      </c>
      <c r="T5" s="17">
        <f>K5</f>
        <v>-301.29277966748464</v>
      </c>
      <c r="U5" s="17">
        <f>L5</f>
        <v>-2142.2877439862355</v>
      </c>
      <c r="V5" s="17">
        <v>5</v>
      </c>
      <c r="W5" s="17">
        <f t="shared" si="3"/>
        <v>5</v>
      </c>
      <c r="X5" s="16">
        <v>679879</v>
      </c>
      <c r="Y5" s="16">
        <f t="shared" si="4"/>
        <v>3399395</v>
      </c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5" x14ac:dyDescent="0.25">
      <c r="A6" s="33"/>
      <c r="B6" s="16">
        <v>3</v>
      </c>
      <c r="C6" s="18">
        <f t="shared" si="0"/>
        <v>5324.2148400000005</v>
      </c>
      <c r="D6" s="17">
        <f t="shared" si="5"/>
        <v>22631.4</v>
      </c>
      <c r="E6" s="17">
        <v>0</v>
      </c>
      <c r="F6" s="17">
        <f>F4</f>
        <v>-2166</v>
      </c>
      <c r="G6" s="17">
        <f>D6</f>
        <v>22631.4</v>
      </c>
      <c r="H6" s="17">
        <f>[2]GEOMETRY_PROCESSING!C24</f>
        <v>-151.11221837182936</v>
      </c>
      <c r="I6" s="17">
        <f>[2]GEOMETRY_PROCESSING!C26</f>
        <v>-2160.0627847700043</v>
      </c>
      <c r="J6" s="17">
        <f>D6</f>
        <v>22631.4</v>
      </c>
      <c r="K6" s="17">
        <f>[2]GEOMETRY_PROCESSING!C18</f>
        <v>-301.29277966748464</v>
      </c>
      <c r="L6" s="17">
        <f>[2]GEOMETRY_PROCESSING!C20</f>
        <v>-2142.2877439862355</v>
      </c>
      <c r="M6" s="17">
        <f>[1]INPUTS!G5-1442.6</f>
        <v>24186</v>
      </c>
      <c r="N6" s="17">
        <v>0</v>
      </c>
      <c r="O6" s="17">
        <f>O4</f>
        <v>-2166</v>
      </c>
      <c r="P6" s="17">
        <f t="shared" si="1"/>
        <v>24186</v>
      </c>
      <c r="Q6" s="17">
        <f>H6</f>
        <v>-151.11221837182936</v>
      </c>
      <c r="R6" s="17">
        <f>I6</f>
        <v>-2160.0627847700043</v>
      </c>
      <c r="S6" s="17">
        <f t="shared" si="2"/>
        <v>24186</v>
      </c>
      <c r="T6" s="17">
        <f>[2]GEOMETRY_PROCESSING!C18</f>
        <v>-301.29277966748464</v>
      </c>
      <c r="U6" s="17">
        <f>L6</f>
        <v>-2142.2877439862355</v>
      </c>
      <c r="V6" s="17">
        <v>4</v>
      </c>
      <c r="W6" s="17">
        <f t="shared" si="3"/>
        <v>4</v>
      </c>
      <c r="X6" s="16">
        <v>470337</v>
      </c>
      <c r="Y6" s="16">
        <f t="shared" si="4"/>
        <v>1881348</v>
      </c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5" x14ac:dyDescent="0.25">
      <c r="A7" s="34" t="s">
        <v>0</v>
      </c>
      <c r="B7" s="16">
        <v>4</v>
      </c>
      <c r="C7" s="18">
        <f t="shared" si="0"/>
        <v>3504.9974499999998</v>
      </c>
      <c r="D7" s="17">
        <f t="shared" si="5"/>
        <v>24186</v>
      </c>
      <c r="E7" s="17">
        <v>0</v>
      </c>
      <c r="F7" s="17">
        <f>F4</f>
        <v>-2166</v>
      </c>
      <c r="G7" s="17">
        <f>D7</f>
        <v>24186</v>
      </c>
      <c r="H7" s="17">
        <f t="shared" ref="H7:I10" si="6">Q6</f>
        <v>-151.11221837182936</v>
      </c>
      <c r="I7" s="17">
        <f t="shared" si="6"/>
        <v>-2160.0627847700043</v>
      </c>
      <c r="J7" s="17">
        <f>D7</f>
        <v>24186</v>
      </c>
      <c r="K7" s="17">
        <f t="shared" ref="K7:L10" si="7">T6</f>
        <v>-301.29277966748464</v>
      </c>
      <c r="L7" s="17">
        <f t="shared" si="7"/>
        <v>-2142.2877439862355</v>
      </c>
      <c r="M7" s="17">
        <f>[1]INPUTS!$G$5-740.7</f>
        <v>24887.899999999998</v>
      </c>
      <c r="N7" s="17">
        <v>0</v>
      </c>
      <c r="O7" s="17">
        <f>O4</f>
        <v>-2166</v>
      </c>
      <c r="P7" s="17">
        <f t="shared" si="1"/>
        <v>24887.899999999998</v>
      </c>
      <c r="Q7" s="17">
        <f>[2]GEOMETRY_PROCESSING!C36</f>
        <v>-201.32182025350056</v>
      </c>
      <c r="R7" s="17">
        <f>[2]GEOMETRY_PROCESSING!C38</f>
        <v>-2155.4491704792945</v>
      </c>
      <c r="S7" s="17">
        <f t="shared" si="2"/>
        <v>24887.899999999998</v>
      </c>
      <c r="T7" s="17">
        <f>[2]GEOMETRY_PROCESSING!C30</f>
        <v>-400.43791651500442</v>
      </c>
      <c r="U7" s="17">
        <f>[2]GEOMETRY_PROCESSING!C32</f>
        <v>-2123.9122790133097</v>
      </c>
      <c r="V7" s="17">
        <v>5</v>
      </c>
      <c r="W7" s="17">
        <f t="shared" si="3"/>
        <v>5</v>
      </c>
      <c r="X7" s="16">
        <v>247703</v>
      </c>
      <c r="Y7" s="16">
        <f t="shared" si="4"/>
        <v>1238515</v>
      </c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5" x14ac:dyDescent="0.25">
      <c r="A8" s="35"/>
      <c r="B8" s="16">
        <v>5</v>
      </c>
      <c r="C8" s="18">
        <f t="shared" si="0"/>
        <v>1602.5441000000001</v>
      </c>
      <c r="D8" s="17">
        <f t="shared" si="5"/>
        <v>24887.899999999998</v>
      </c>
      <c r="E8" s="17">
        <v>0</v>
      </c>
      <c r="F8" s="17">
        <f>F4</f>
        <v>-2166</v>
      </c>
      <c r="G8" s="17">
        <f>P7</f>
        <v>24887.899999999998</v>
      </c>
      <c r="H8" s="17">
        <f t="shared" si="6"/>
        <v>-201.32182025350056</v>
      </c>
      <c r="I8" s="17">
        <f t="shared" si="6"/>
        <v>-2155.4491704792945</v>
      </c>
      <c r="J8" s="17">
        <f>S7</f>
        <v>24887.899999999998</v>
      </c>
      <c r="K8" s="17">
        <f t="shared" si="7"/>
        <v>-400.43791651500442</v>
      </c>
      <c r="L8" s="17">
        <f t="shared" si="7"/>
        <v>-2123.9122790133097</v>
      </c>
      <c r="M8" s="17">
        <f>[1]INPUTS!$G$5-500</f>
        <v>25128.6</v>
      </c>
      <c r="N8" s="17">
        <v>0</v>
      </c>
      <c r="O8" s="17">
        <f>O4</f>
        <v>-2166</v>
      </c>
      <c r="P8" s="17">
        <f t="shared" si="1"/>
        <v>25128.6</v>
      </c>
      <c r="Q8" s="17">
        <f>[2]GEOMETRY_PROCESSING!C48</f>
        <v>-268.04739244908603</v>
      </c>
      <c r="R8" s="17">
        <f>[2]GEOMETRY_PROCESSING!C50</f>
        <v>-2147.2563003962646</v>
      </c>
      <c r="S8" s="17">
        <f t="shared" si="2"/>
        <v>25128.6</v>
      </c>
      <c r="T8" s="17">
        <f>[2]GEOMETRY_PROCESSING!C42</f>
        <v>-530.87754730354038</v>
      </c>
      <c r="U8" s="17">
        <f>[2]GEOMETRY_PROCESSING!C44</f>
        <v>-2091.390026377202</v>
      </c>
      <c r="V8" s="17">
        <v>5</v>
      </c>
      <c r="W8" s="17">
        <f t="shared" si="3"/>
        <v>5</v>
      </c>
      <c r="X8" s="16">
        <v>113254</v>
      </c>
      <c r="Y8" s="16">
        <f t="shared" si="4"/>
        <v>566270</v>
      </c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5" x14ac:dyDescent="0.25">
      <c r="A9" s="35"/>
      <c r="B9" s="16">
        <v>6</v>
      </c>
      <c r="C9" s="18">
        <f t="shared" si="0"/>
        <v>1854.8244500000001</v>
      </c>
      <c r="D9" s="17">
        <f t="shared" si="5"/>
        <v>25128.6</v>
      </c>
      <c r="E9" s="17">
        <v>0</v>
      </c>
      <c r="F9" s="17">
        <f>F4</f>
        <v>-2166</v>
      </c>
      <c r="G9" s="17">
        <f>P8</f>
        <v>25128.6</v>
      </c>
      <c r="H9" s="17">
        <f t="shared" si="6"/>
        <v>-268.04739244908603</v>
      </c>
      <c r="I9" s="17">
        <f t="shared" si="6"/>
        <v>-2147.2563003962646</v>
      </c>
      <c r="J9" s="17">
        <f>S8</f>
        <v>25128.6</v>
      </c>
      <c r="K9" s="17">
        <f t="shared" si="7"/>
        <v>-530.87754730354038</v>
      </c>
      <c r="L9" s="17">
        <f t="shared" si="7"/>
        <v>-2091.390026377202</v>
      </c>
      <c r="M9" s="17">
        <f>[1]INPUTS!$G$5-328.8</f>
        <v>25299.8</v>
      </c>
      <c r="N9" s="17">
        <v>0</v>
      </c>
      <c r="O9" s="17">
        <f>O4</f>
        <v>-2166</v>
      </c>
      <c r="P9" s="17">
        <f t="shared" si="1"/>
        <v>25299.8</v>
      </c>
      <c r="Q9" s="17">
        <f>[2]GEOMETRY_PROCESSING!C60</f>
        <v>-498.48548086745495</v>
      </c>
      <c r="R9" s="17">
        <f>[2]GEOMETRY_PROCESSING!C62</f>
        <v>-2100.3731414327458</v>
      </c>
      <c r="S9" s="17">
        <f t="shared" si="2"/>
        <v>25299.8</v>
      </c>
      <c r="T9" s="17">
        <f>[2]GEOMETRY_PROCESSING!C54</f>
        <v>-962.99999999999989</v>
      </c>
      <c r="U9" s="17">
        <f>[2]GEOMETRY_PROCESSING!C56</f>
        <v>-1907.964927688829</v>
      </c>
      <c r="V9" s="17">
        <v>5</v>
      </c>
      <c r="W9" s="17">
        <f t="shared" si="3"/>
        <v>5</v>
      </c>
      <c r="X9" s="16">
        <v>131083</v>
      </c>
      <c r="Y9" s="16">
        <f t="shared" si="4"/>
        <v>655415</v>
      </c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5" x14ac:dyDescent="0.25">
      <c r="A10" s="33"/>
      <c r="B10" s="16">
        <v>7</v>
      </c>
      <c r="C10" s="18">
        <f t="shared" si="0"/>
        <v>4691.8852999999999</v>
      </c>
      <c r="D10" s="17">
        <f t="shared" si="5"/>
        <v>25299.8</v>
      </c>
      <c r="E10" s="17">
        <v>0</v>
      </c>
      <c r="F10" s="17">
        <f>F4</f>
        <v>-2166</v>
      </c>
      <c r="G10" s="17">
        <f>P9</f>
        <v>25299.8</v>
      </c>
      <c r="H10" s="17">
        <f t="shared" si="6"/>
        <v>-498.48548086745495</v>
      </c>
      <c r="I10" s="17">
        <f t="shared" si="6"/>
        <v>-2100.3731414327458</v>
      </c>
      <c r="J10" s="17">
        <f>S9</f>
        <v>25299.8</v>
      </c>
      <c r="K10" s="17">
        <f t="shared" si="7"/>
        <v>-962.99999999999989</v>
      </c>
      <c r="L10" s="17">
        <f t="shared" si="7"/>
        <v>-1907.964927688829</v>
      </c>
      <c r="M10" s="17">
        <f>[1]INPUTS!$G$5</f>
        <v>25628.6</v>
      </c>
      <c r="N10" s="17">
        <v>0</v>
      </c>
      <c r="O10" s="17">
        <f>O4</f>
        <v>-2166</v>
      </c>
      <c r="P10" s="17">
        <f t="shared" si="1"/>
        <v>25628.6</v>
      </c>
      <c r="Q10" s="17">
        <f>H10</f>
        <v>-498.48548086745495</v>
      </c>
      <c r="R10" s="17">
        <f>I10</f>
        <v>-2100.3731414327458</v>
      </c>
      <c r="S10" s="17">
        <f t="shared" si="2"/>
        <v>25628.6</v>
      </c>
      <c r="T10" s="17">
        <f>K10</f>
        <v>-962.99999999999989</v>
      </c>
      <c r="U10" s="17">
        <f>L10</f>
        <v>-1907.964927688829</v>
      </c>
      <c r="V10" s="17">
        <v>5</v>
      </c>
      <c r="W10" s="17">
        <f t="shared" si="3"/>
        <v>5</v>
      </c>
      <c r="X10" s="16">
        <v>331582</v>
      </c>
      <c r="Y10" s="16">
        <f t="shared" si="4"/>
        <v>1657910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5" x14ac:dyDescent="0.25">
      <c r="A11" s="1"/>
      <c r="B11" s="1"/>
      <c r="C11" s="1"/>
      <c r="D11" s="1"/>
      <c r="E11" s="1"/>
      <c r="F11" s="1"/>
      <c r="G11" s="15"/>
      <c r="H11" s="15"/>
      <c r="I11" s="15"/>
      <c r="J11" s="15"/>
      <c r="K11" s="1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5.75" customHeight="1" x14ac:dyDescent="0.3">
      <c r="A12" s="1"/>
      <c r="B12" s="10"/>
      <c r="C12" s="10"/>
      <c r="D12" s="10"/>
      <c r="E12" s="1"/>
      <c r="F12" s="1"/>
      <c r="G12" s="1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8"/>
      <c r="W12" s="1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5.75" customHeight="1" x14ac:dyDescent="0.3">
      <c r="A13" s="1"/>
      <c r="B13" s="6"/>
      <c r="C13" s="6"/>
      <c r="D13" s="3"/>
      <c r="E13" s="3"/>
      <c r="F13" s="1"/>
      <c r="G13" s="1"/>
      <c r="H13" s="1"/>
      <c r="I13" s="8"/>
      <c r="J13" s="10"/>
      <c r="K13" s="10"/>
      <c r="L13" s="8"/>
      <c r="M13" s="15"/>
      <c r="N13" s="15"/>
      <c r="O13" s="8"/>
      <c r="P13" s="15"/>
      <c r="Q13" s="15"/>
      <c r="R13" s="8"/>
      <c r="S13" s="15"/>
      <c r="T13" s="1"/>
      <c r="U13" s="8"/>
      <c r="V13" s="8"/>
      <c r="W13" s="13"/>
      <c r="X13" s="8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5" x14ac:dyDescent="0.25">
      <c r="A14" s="1"/>
      <c r="B14" s="7"/>
      <c r="C14" s="6"/>
      <c r="D14" s="3"/>
      <c r="E14" s="3"/>
      <c r="F14" s="1"/>
      <c r="G14" s="1"/>
      <c r="H14" s="1"/>
      <c r="I14" s="8"/>
      <c r="J14" s="3"/>
      <c r="K14" s="3"/>
      <c r="L14" s="1"/>
      <c r="M14" s="15"/>
      <c r="N14" s="15"/>
      <c r="O14" s="15"/>
      <c r="P14" s="1"/>
      <c r="Q14" s="15"/>
      <c r="R14" s="15"/>
      <c r="S14" s="15"/>
      <c r="T14" s="1"/>
      <c r="U14" s="1"/>
      <c r="V14" s="8"/>
      <c r="W14" s="1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5" x14ac:dyDescent="0.25">
      <c r="A15" s="1"/>
      <c r="B15" s="7"/>
      <c r="C15" s="6"/>
      <c r="D15" s="3"/>
      <c r="E15" s="3"/>
      <c r="F15" s="1"/>
      <c r="G15" s="1"/>
      <c r="H15" s="1"/>
      <c r="I15" s="8"/>
      <c r="J15" s="3"/>
      <c r="K15" s="3"/>
      <c r="L15" s="1"/>
      <c r="M15" s="15"/>
      <c r="N15" s="15"/>
      <c r="O15" s="15"/>
      <c r="P15" s="1"/>
      <c r="Q15" s="15"/>
      <c r="R15" s="15"/>
      <c r="S15" s="15"/>
      <c r="T15" s="1"/>
      <c r="U15" s="1"/>
      <c r="V15" s="8"/>
      <c r="W15" s="1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5" x14ac:dyDescent="0.25">
      <c r="A16" s="1"/>
      <c r="B16" s="7"/>
      <c r="C16" s="6"/>
      <c r="D16" s="3"/>
      <c r="E16" s="3"/>
      <c r="F16" s="1"/>
      <c r="G16" s="1"/>
      <c r="H16" s="1"/>
      <c r="I16" s="8"/>
      <c r="J16" s="3"/>
      <c r="K16" s="3"/>
      <c r="L16" s="1"/>
      <c r="M16" s="15"/>
      <c r="N16" s="15"/>
      <c r="O16" s="15"/>
      <c r="P16" s="1"/>
      <c r="Q16" s="15"/>
      <c r="R16" s="15"/>
      <c r="S16" s="15"/>
      <c r="T16" s="1"/>
      <c r="U16" s="1"/>
      <c r="V16" s="8"/>
      <c r="W16" s="1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" x14ac:dyDescent="0.25">
      <c r="A17" s="1"/>
      <c r="B17" s="7"/>
      <c r="C17" s="6"/>
      <c r="D17" s="3"/>
      <c r="E17" s="3"/>
      <c r="F17" s="1"/>
      <c r="G17" s="1"/>
      <c r="H17" s="1"/>
      <c r="I17" s="1"/>
      <c r="J17" s="3"/>
      <c r="K17" s="3"/>
      <c r="L17" s="1"/>
      <c r="M17" s="15"/>
      <c r="N17" s="15"/>
      <c r="O17" s="15"/>
      <c r="P17" s="1"/>
      <c r="Q17" s="15"/>
      <c r="R17" s="15"/>
      <c r="S17" s="15"/>
      <c r="T17" s="1"/>
      <c r="U17" s="1"/>
      <c r="V17" s="8"/>
      <c r="W17" s="1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5" x14ac:dyDescent="0.25">
      <c r="A18" s="1"/>
      <c r="B18" s="7"/>
      <c r="C18" s="6"/>
      <c r="D18" s="3"/>
      <c r="E18" s="3"/>
      <c r="F18" s="1"/>
      <c r="G18" s="1"/>
      <c r="H18" s="1"/>
      <c r="I18" s="8"/>
      <c r="J18" s="3"/>
      <c r="K18" s="3"/>
      <c r="L18" s="1"/>
      <c r="M18" s="15"/>
      <c r="N18" s="15"/>
      <c r="O18" s="15"/>
      <c r="P18" s="1"/>
      <c r="Q18" s="1"/>
      <c r="R18" s="1"/>
      <c r="S18" s="1"/>
      <c r="T18" s="1"/>
      <c r="U18" s="1"/>
      <c r="V18" s="8"/>
      <c r="W18" s="1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5.75" customHeight="1" x14ac:dyDescent="0.3">
      <c r="A19" s="1"/>
      <c r="B19" s="1"/>
      <c r="C19" s="1"/>
      <c r="D19" s="1"/>
      <c r="E19" s="1"/>
      <c r="F19" s="1"/>
      <c r="G19" s="6"/>
      <c r="H19" s="5"/>
      <c r="I19" s="4"/>
      <c r="J19" s="3"/>
      <c r="K19" s="3"/>
      <c r="L19" s="1"/>
      <c r="M19" s="15"/>
      <c r="N19" s="15"/>
      <c r="O19" s="1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5" x14ac:dyDescent="0.25">
      <c r="A20" s="1"/>
      <c r="B20" s="1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5.75" customHeight="1" x14ac:dyDescent="0.3">
      <c r="A21" s="1"/>
      <c r="B21" s="1"/>
      <c r="C21" s="1"/>
      <c r="D21" s="1"/>
      <c r="E21" s="1"/>
      <c r="F21" s="1"/>
      <c r="G21" s="1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5.75" customHeight="1" x14ac:dyDescent="0.3">
      <c r="A22" s="1"/>
      <c r="B22" s="1"/>
      <c r="C22" s="1"/>
      <c r="D22" s="1"/>
      <c r="E22" s="1"/>
      <c r="F22" s="1"/>
      <c r="G22" s="11"/>
      <c r="H22" s="10"/>
      <c r="I22" s="10"/>
      <c r="J22" s="10"/>
      <c r="K22" s="10"/>
      <c r="L22" s="1"/>
      <c r="M22" s="1"/>
      <c r="N22" s="1"/>
      <c r="O22" s="1"/>
      <c r="P22" s="1"/>
      <c r="Q22" s="1"/>
      <c r="R22" s="1"/>
      <c r="S22" s="1"/>
      <c r="T22" s="1"/>
      <c r="U22" s="13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5.75" customHeight="1" x14ac:dyDescent="0.3">
      <c r="A23" s="1"/>
      <c r="B23" s="1"/>
      <c r="C23" s="1"/>
      <c r="D23" s="1"/>
      <c r="E23" s="1"/>
      <c r="F23" s="1"/>
      <c r="G23" s="6"/>
      <c r="H23" s="7"/>
      <c r="I23" s="4"/>
      <c r="J23" s="3"/>
      <c r="K23" s="3"/>
      <c r="L23" s="1"/>
      <c r="M23" s="2"/>
      <c r="N23" s="1"/>
      <c r="O23" s="1"/>
      <c r="P23" s="1"/>
      <c r="Q23" s="1"/>
      <c r="R23" s="1"/>
      <c r="S23" s="1"/>
      <c r="T23" s="1"/>
      <c r="U23" s="13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5.75" customHeight="1" x14ac:dyDescent="0.3">
      <c r="A24" s="1"/>
      <c r="B24" s="1"/>
      <c r="C24" s="1"/>
      <c r="D24" s="1"/>
      <c r="E24" s="1"/>
      <c r="F24" s="1"/>
      <c r="G24" s="6"/>
      <c r="H24" s="7"/>
      <c r="I24" s="4"/>
      <c r="J24" s="3"/>
      <c r="K24" s="3"/>
      <c r="L24" s="1"/>
      <c r="M24" s="2"/>
      <c r="N24" s="1"/>
      <c r="O24" s="1"/>
      <c r="P24" s="1"/>
      <c r="Q24" s="1"/>
      <c r="R24" s="1"/>
      <c r="S24" s="1"/>
      <c r="T24" s="1"/>
      <c r="U24" s="1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5.75" customHeight="1" x14ac:dyDescent="0.3">
      <c r="A25" s="1"/>
      <c r="B25" s="1"/>
      <c r="C25" s="1"/>
      <c r="D25" s="1"/>
      <c r="E25" s="1"/>
      <c r="F25" s="1"/>
      <c r="G25" s="6"/>
      <c r="H25" s="7"/>
      <c r="I25" s="4"/>
      <c r="J25" s="3"/>
      <c r="K25" s="3"/>
      <c r="L25" s="1"/>
      <c r="M25" s="2"/>
      <c r="N25" s="1"/>
      <c r="O25" s="1"/>
      <c r="P25" s="1"/>
      <c r="Q25" s="1"/>
      <c r="R25" s="1"/>
      <c r="S25" s="1"/>
      <c r="T25" s="1"/>
      <c r="U25" s="13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5.6" x14ac:dyDescent="0.3">
      <c r="A26" s="1"/>
      <c r="B26" s="1"/>
      <c r="C26" s="1"/>
      <c r="D26" s="1"/>
      <c r="E26" s="1"/>
      <c r="F26" s="1"/>
      <c r="G26" s="6"/>
      <c r="H26" s="7"/>
      <c r="I26" s="4"/>
      <c r="J26" s="3"/>
      <c r="K26" s="3"/>
      <c r="L26" s="1"/>
      <c r="M26" s="2"/>
      <c r="N26" s="1"/>
      <c r="O26" s="1"/>
      <c r="P26" s="1"/>
      <c r="Q26" s="1"/>
      <c r="R26" s="1"/>
      <c r="S26" s="1"/>
      <c r="T26" s="1"/>
      <c r="U26" s="13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5.6" x14ac:dyDescent="0.3">
      <c r="A27" s="1"/>
      <c r="B27" s="1"/>
      <c r="C27" s="1"/>
      <c r="D27" s="1"/>
      <c r="E27" s="1"/>
      <c r="F27" s="1"/>
      <c r="G27" s="6"/>
      <c r="H27" s="7"/>
      <c r="I27" s="4"/>
      <c r="J27" s="3"/>
      <c r="K27" s="3"/>
      <c r="L27" s="1"/>
      <c r="M27" s="2"/>
      <c r="N27" s="1"/>
      <c r="O27" s="1"/>
      <c r="P27" s="1"/>
      <c r="Q27" s="1"/>
      <c r="R27" s="13"/>
      <c r="S27" s="1"/>
      <c r="T27" s="1"/>
      <c r="U27" s="1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5.6" x14ac:dyDescent="0.3">
      <c r="A28" s="1"/>
      <c r="B28" s="1"/>
      <c r="C28" s="1"/>
      <c r="D28" s="1"/>
      <c r="E28" s="1"/>
      <c r="F28" s="1"/>
      <c r="G28" s="6"/>
      <c r="H28" s="7"/>
      <c r="I28" s="4"/>
      <c r="J28" s="3"/>
      <c r="K28" s="3"/>
      <c r="L28" s="1"/>
      <c r="M28" s="2"/>
      <c r="N28" s="1"/>
      <c r="O28" s="1"/>
      <c r="P28" s="1"/>
      <c r="Q28" s="1"/>
      <c r="R28" s="13"/>
      <c r="S28" s="1"/>
      <c r="T28" s="1"/>
      <c r="U28" s="13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5" x14ac:dyDescent="0.25">
      <c r="A29" s="1"/>
      <c r="B29" s="1"/>
      <c r="C29" s="1"/>
      <c r="D29" s="1"/>
      <c r="E29" s="1"/>
      <c r="F29" s="1"/>
      <c r="G29" s="6"/>
      <c r="H29" s="7"/>
      <c r="I29" s="4"/>
      <c r="J29" s="3"/>
      <c r="K29" s="3"/>
      <c r="L29" s="1"/>
      <c r="M29" s="1"/>
      <c r="N29" s="1"/>
      <c r="O29" s="1"/>
      <c r="P29" s="1"/>
      <c r="Q29" s="1"/>
      <c r="R29" s="13"/>
      <c r="S29" s="1"/>
      <c r="T29" s="1"/>
      <c r="U29" s="13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5" x14ac:dyDescent="0.25">
      <c r="A30" s="1"/>
      <c r="B30" s="1"/>
      <c r="C30" s="1"/>
      <c r="D30" s="1"/>
      <c r="E30" s="1"/>
      <c r="F30" s="1"/>
      <c r="G30" s="6"/>
      <c r="H30" s="7"/>
      <c r="I30" s="4"/>
      <c r="J30" s="3"/>
      <c r="K30" s="3"/>
      <c r="L30" s="1"/>
      <c r="M30" s="1"/>
      <c r="N30" s="1"/>
      <c r="O30" s="1"/>
      <c r="P30" s="1"/>
      <c r="Q30" s="1"/>
      <c r="R30" s="13"/>
      <c r="S30" s="1"/>
      <c r="T30" s="1"/>
      <c r="U30" s="1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5" x14ac:dyDescent="0.25">
      <c r="A31" s="1"/>
      <c r="B31" s="1"/>
      <c r="C31" s="1"/>
      <c r="D31" s="1"/>
      <c r="E31" s="1"/>
      <c r="F31" s="1"/>
      <c r="G31" s="6"/>
      <c r="H31" s="7"/>
      <c r="I31" s="4"/>
      <c r="J31" s="3"/>
      <c r="K31" s="3"/>
      <c r="L31" s="1"/>
      <c r="M31" s="1"/>
      <c r="N31" s="1"/>
      <c r="O31" s="1"/>
      <c r="P31" s="1"/>
      <c r="Q31" s="1"/>
      <c r="R31" s="13"/>
      <c r="S31" s="1"/>
      <c r="T31" s="1"/>
      <c r="U31" s="13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15" x14ac:dyDescent="0.25">
      <c r="A32" s="1"/>
      <c r="B32" s="1"/>
      <c r="C32" s="1"/>
      <c r="D32" s="1"/>
      <c r="E32" s="1"/>
      <c r="F32" s="1"/>
      <c r="G32" s="6"/>
      <c r="H32" s="7"/>
      <c r="I32" s="4"/>
      <c r="J32" s="3"/>
      <c r="K32" s="3"/>
      <c r="L32" s="1"/>
      <c r="M32" s="1"/>
      <c r="N32" s="1"/>
      <c r="O32" s="1"/>
      <c r="P32" s="1"/>
      <c r="Q32" s="1"/>
      <c r="R32" s="13"/>
      <c r="S32" s="1"/>
      <c r="T32" s="1"/>
      <c r="U32" s="13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5" x14ac:dyDescent="0.25">
      <c r="A33" s="1"/>
      <c r="B33" s="1"/>
      <c r="C33" s="1"/>
      <c r="D33" s="1"/>
      <c r="E33" s="1"/>
      <c r="F33" s="1"/>
      <c r="G33" s="6"/>
      <c r="H33" s="7"/>
      <c r="I33" s="4"/>
      <c r="J33" s="3"/>
      <c r="K33" s="3"/>
      <c r="L33" s="1"/>
      <c r="M33" s="1"/>
      <c r="N33" s="1"/>
      <c r="O33" s="1"/>
      <c r="P33" s="1"/>
      <c r="Q33" s="1"/>
      <c r="R33" s="13"/>
      <c r="S33" s="1"/>
      <c r="T33" s="1"/>
      <c r="U33" s="13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5" x14ac:dyDescent="0.25">
      <c r="A34" s="1"/>
      <c r="B34" s="1"/>
      <c r="C34" s="1"/>
      <c r="D34" s="1"/>
      <c r="E34" s="1"/>
      <c r="F34" s="1"/>
      <c r="G34" s="6"/>
      <c r="H34" s="7"/>
      <c r="I34" s="4"/>
      <c r="J34" s="3"/>
      <c r="K34" s="3"/>
      <c r="L34" s="1"/>
      <c r="M34" s="1"/>
      <c r="N34" s="1"/>
      <c r="O34" s="1"/>
      <c r="P34" s="1"/>
      <c r="Q34" s="1"/>
      <c r="R34" s="1"/>
      <c r="S34" s="1"/>
      <c r="T34" s="1"/>
      <c r="U34" s="13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5" x14ac:dyDescent="0.25">
      <c r="A35" s="1"/>
      <c r="B35" s="1"/>
      <c r="C35" s="1"/>
      <c r="D35" s="1"/>
      <c r="E35" s="1"/>
      <c r="F35" s="1"/>
      <c r="G35" s="6"/>
      <c r="H35" s="7"/>
      <c r="I35" s="4"/>
      <c r="J35" s="3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5" x14ac:dyDescent="0.25">
      <c r="A36" s="1"/>
      <c r="B36" s="1"/>
      <c r="C36" s="1"/>
      <c r="D36" s="1"/>
      <c r="E36" s="1"/>
      <c r="F36" s="1"/>
      <c r="G36" s="6"/>
      <c r="H36" s="7"/>
      <c r="I36" s="4"/>
      <c r="J36" s="3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5" x14ac:dyDescent="0.25">
      <c r="A37" s="1"/>
      <c r="B37" s="1"/>
      <c r="C37" s="1"/>
      <c r="D37" s="1"/>
      <c r="E37" s="1"/>
      <c r="F37" s="1"/>
      <c r="G37" s="6"/>
      <c r="H37" s="7"/>
      <c r="I37" s="4"/>
      <c r="J37" s="3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5" x14ac:dyDescent="0.25">
      <c r="A38" s="1"/>
      <c r="B38" s="1"/>
      <c r="C38" s="1"/>
      <c r="D38" s="1"/>
      <c r="E38" s="1"/>
      <c r="F38" s="1"/>
      <c r="G38" s="6"/>
      <c r="H38" s="7"/>
      <c r="I38" s="4"/>
      <c r="J38" s="3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5" x14ac:dyDescent="0.25">
      <c r="A39" s="1"/>
      <c r="B39" s="1"/>
      <c r="C39" s="1"/>
      <c r="D39" s="1"/>
      <c r="E39" s="1"/>
      <c r="F39" s="1"/>
      <c r="G39" s="6"/>
      <c r="H39" s="7"/>
      <c r="I39" s="4"/>
      <c r="J39" s="3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5" x14ac:dyDescent="0.25">
      <c r="A40" s="1"/>
      <c r="B40" s="1"/>
      <c r="C40" s="1"/>
      <c r="D40" s="1"/>
      <c r="E40" s="1"/>
      <c r="F40" s="1"/>
      <c r="G40" s="6"/>
      <c r="H40" s="7"/>
      <c r="I40" s="4"/>
      <c r="J40" s="3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5" x14ac:dyDescent="0.25">
      <c r="A41" s="1"/>
      <c r="B41" s="1"/>
      <c r="C41" s="1"/>
      <c r="D41" s="1"/>
      <c r="E41" s="1"/>
      <c r="F41" s="1"/>
      <c r="G41" s="6"/>
      <c r="H41" s="7"/>
      <c r="I41" s="4"/>
      <c r="J41" s="3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5" x14ac:dyDescent="0.25">
      <c r="A42" s="1"/>
      <c r="B42" s="1"/>
      <c r="C42" s="1"/>
      <c r="D42" s="1"/>
      <c r="E42" s="1"/>
      <c r="F42" s="1"/>
      <c r="G42" s="6"/>
      <c r="H42" s="7"/>
      <c r="I42" s="4"/>
      <c r="J42" s="3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5" x14ac:dyDescent="0.25">
      <c r="A43" s="1"/>
      <c r="B43" s="1"/>
      <c r="C43" s="1"/>
      <c r="D43" s="1"/>
      <c r="E43" s="1"/>
      <c r="F43" s="1"/>
      <c r="G43" s="6"/>
      <c r="H43" s="7"/>
      <c r="I43" s="4"/>
      <c r="J43" s="3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5" x14ac:dyDescent="0.25">
      <c r="A44" s="1"/>
      <c r="B44" s="1"/>
      <c r="C44" s="1"/>
      <c r="D44" s="1"/>
      <c r="E44" s="1"/>
      <c r="F44" s="1"/>
      <c r="G44" s="6"/>
      <c r="H44" s="7"/>
      <c r="I44" s="4"/>
      <c r="J44" s="3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" x14ac:dyDescent="0.25">
      <c r="A45" s="1"/>
      <c r="B45" s="1"/>
      <c r="C45" s="1"/>
      <c r="D45" s="1"/>
      <c r="E45" s="1"/>
      <c r="F45" s="1"/>
      <c r="G45" s="6"/>
      <c r="H45" s="7"/>
      <c r="I45" s="4"/>
      <c r="J45" s="3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5.6" x14ac:dyDescent="0.3">
      <c r="A46" s="1"/>
      <c r="B46" s="1"/>
      <c r="C46" s="1"/>
      <c r="D46" s="1"/>
      <c r="E46" s="1"/>
      <c r="F46" s="1"/>
      <c r="G46" s="6"/>
      <c r="H46" s="5"/>
      <c r="I46" s="4"/>
      <c r="J46" s="3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5.6" x14ac:dyDescent="0.3">
      <c r="A48" s="1"/>
      <c r="B48" s="1"/>
      <c r="C48" s="1"/>
      <c r="D48" s="1"/>
      <c r="E48" s="1"/>
      <c r="F48" s="1"/>
      <c r="G48" s="1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.6" x14ac:dyDescent="0.3">
      <c r="A49" s="1"/>
      <c r="B49" s="1"/>
      <c r="C49" s="1"/>
      <c r="D49" s="1"/>
      <c r="E49" s="1"/>
      <c r="F49" s="1"/>
      <c r="G49" s="11"/>
      <c r="H49" s="10"/>
      <c r="I49" s="10"/>
      <c r="J49" s="10"/>
      <c r="K49" s="1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.6" x14ac:dyDescent="0.3">
      <c r="A50" s="1"/>
      <c r="B50" s="1"/>
      <c r="C50" s="1"/>
      <c r="D50" s="1"/>
      <c r="E50" s="1"/>
      <c r="F50" s="1"/>
      <c r="G50" s="6"/>
      <c r="H50" s="7"/>
      <c r="I50" s="4"/>
      <c r="J50" s="3"/>
      <c r="K50" s="3"/>
      <c r="L50" s="1"/>
      <c r="M50" s="2"/>
      <c r="N50" s="1"/>
      <c r="O50" s="1"/>
      <c r="P50" s="1"/>
      <c r="Q50" s="1"/>
      <c r="R50" s="1"/>
      <c r="S50" s="1"/>
      <c r="T50" s="1"/>
      <c r="U50" s="9"/>
      <c r="V50" s="1"/>
      <c r="W50" s="8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.6" x14ac:dyDescent="0.3">
      <c r="A51" s="1"/>
      <c r="B51" s="1"/>
      <c r="C51" s="1"/>
      <c r="D51" s="1"/>
      <c r="E51" s="1"/>
      <c r="F51" s="1"/>
      <c r="G51" s="6"/>
      <c r="H51" s="7"/>
      <c r="I51" s="4"/>
      <c r="J51" s="3"/>
      <c r="K51" s="3"/>
      <c r="L51" s="1"/>
      <c r="M51" s="2"/>
      <c r="N51" s="1"/>
      <c r="O51" s="1"/>
      <c r="P51" s="1"/>
      <c r="Q51" s="1"/>
      <c r="R51" s="1"/>
      <c r="S51" s="1"/>
      <c r="T51" s="1"/>
      <c r="U51" s="9"/>
      <c r="V51" s="1"/>
      <c r="W51" s="8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.6" x14ac:dyDescent="0.3">
      <c r="A52" s="1"/>
      <c r="B52" s="1"/>
      <c r="C52" s="1"/>
      <c r="D52" s="1"/>
      <c r="E52" s="1"/>
      <c r="F52" s="1"/>
      <c r="G52" s="6"/>
      <c r="H52" s="5"/>
      <c r="I52" s="4"/>
      <c r="J52" s="3"/>
      <c r="K52" s="3"/>
      <c r="L52" s="1"/>
      <c r="M52" s="2"/>
      <c r="N52" s="1"/>
      <c r="O52" s="1"/>
      <c r="P52" s="1"/>
      <c r="Q52" s="1"/>
      <c r="R52" s="1"/>
      <c r="S52" s="1"/>
      <c r="T52" s="1"/>
      <c r="U52" s="9"/>
      <c r="V52" s="1"/>
      <c r="W52" s="8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15.6" x14ac:dyDescent="0.3">
      <c r="A53" s="1"/>
      <c r="B53" s="1"/>
      <c r="C53" s="1"/>
      <c r="D53" s="1"/>
      <c r="E53" s="1"/>
      <c r="F53" s="1"/>
      <c r="G53" s="6"/>
      <c r="H53" s="7"/>
      <c r="I53" s="4"/>
      <c r="J53" s="3"/>
      <c r="K53" s="3"/>
      <c r="L53" s="1"/>
      <c r="M53" s="2"/>
      <c r="N53" s="1"/>
      <c r="O53" s="1"/>
      <c r="P53" s="1"/>
      <c r="Q53" s="1"/>
      <c r="R53" s="1"/>
      <c r="S53" s="1"/>
      <c r="T53" s="1"/>
      <c r="U53" s="9"/>
      <c r="V53" s="1"/>
      <c r="W53" s="8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5.6" x14ac:dyDescent="0.3">
      <c r="A54" s="1"/>
      <c r="B54" s="1"/>
      <c r="C54" s="1"/>
      <c r="D54" s="1"/>
      <c r="E54" s="1"/>
      <c r="F54" s="1"/>
      <c r="G54" s="6"/>
      <c r="H54" s="7"/>
      <c r="I54" s="4"/>
      <c r="J54" s="3"/>
      <c r="K54" s="3"/>
      <c r="L54" s="1"/>
      <c r="M54" s="2"/>
      <c r="N54" s="1"/>
      <c r="O54" s="1"/>
      <c r="P54" s="1"/>
      <c r="Q54" s="1"/>
      <c r="R54" s="1"/>
      <c r="S54" s="1"/>
      <c r="T54" s="1"/>
      <c r="U54" s="9"/>
      <c r="V54" s="1"/>
      <c r="W54" s="8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5.6" x14ac:dyDescent="0.3">
      <c r="A55" s="1"/>
      <c r="B55" s="1"/>
      <c r="C55" s="1"/>
      <c r="D55" s="1"/>
      <c r="E55" s="1"/>
      <c r="F55" s="1"/>
      <c r="G55" s="6"/>
      <c r="H55" s="5"/>
      <c r="I55" s="4"/>
      <c r="J55" s="3"/>
      <c r="K55" s="3"/>
      <c r="L55" s="1"/>
      <c r="M55" s="2"/>
      <c r="N55" s="1"/>
      <c r="O55" s="1"/>
      <c r="P55" s="1"/>
      <c r="Q55" s="1"/>
      <c r="R55" s="1"/>
      <c r="S55" s="1"/>
      <c r="T55" s="1"/>
      <c r="U55" s="9"/>
      <c r="V55" s="1"/>
      <c r="W55" s="8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5.6" x14ac:dyDescent="0.3">
      <c r="A56" s="1"/>
      <c r="B56" s="1"/>
      <c r="C56" s="1"/>
      <c r="D56" s="1"/>
      <c r="E56" s="1"/>
      <c r="F56" s="1"/>
      <c r="G56" s="6"/>
      <c r="H56" s="7"/>
      <c r="I56" s="4"/>
      <c r="J56" s="3"/>
      <c r="K56" s="3"/>
      <c r="L56" s="1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5.6" x14ac:dyDescent="0.3">
      <c r="A57" s="1"/>
      <c r="B57" s="1"/>
      <c r="C57" s="1"/>
      <c r="D57" s="1"/>
      <c r="E57" s="1"/>
      <c r="F57" s="1"/>
      <c r="G57" s="6"/>
      <c r="H57" s="7"/>
      <c r="I57" s="4"/>
      <c r="J57" s="3"/>
      <c r="K57" s="3"/>
      <c r="L57" s="1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15.6" x14ac:dyDescent="0.3">
      <c r="A58" s="1"/>
      <c r="B58" s="1"/>
      <c r="C58" s="1"/>
      <c r="D58" s="1"/>
      <c r="E58" s="1"/>
      <c r="F58" s="1"/>
      <c r="G58" s="6"/>
      <c r="H58" s="5"/>
      <c r="I58" s="4"/>
      <c r="J58" s="3"/>
      <c r="K58" s="3"/>
      <c r="L58" s="1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5.6" x14ac:dyDescent="0.3">
      <c r="A59" s="1"/>
      <c r="B59" s="1"/>
      <c r="C59" s="1"/>
      <c r="D59" s="1"/>
      <c r="E59" s="1"/>
      <c r="F59" s="1"/>
      <c r="G59" s="6"/>
      <c r="H59" s="7"/>
      <c r="I59" s="4"/>
      <c r="J59" s="3"/>
      <c r="K59" s="3"/>
      <c r="L59" s="1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15.6" x14ac:dyDescent="0.3">
      <c r="A60" s="1"/>
      <c r="B60" s="1"/>
      <c r="C60" s="1"/>
      <c r="D60" s="1"/>
      <c r="E60" s="1"/>
      <c r="F60" s="1"/>
      <c r="G60" s="6"/>
      <c r="H60" s="7"/>
      <c r="I60" s="4"/>
      <c r="J60" s="3"/>
      <c r="K60" s="3"/>
      <c r="L60" s="1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5.6" x14ac:dyDescent="0.3">
      <c r="A61" s="1"/>
      <c r="B61" s="1"/>
      <c r="C61" s="1"/>
      <c r="D61" s="1"/>
      <c r="E61" s="1"/>
      <c r="F61" s="1"/>
      <c r="G61" s="6"/>
      <c r="H61" s="5"/>
      <c r="I61" s="4"/>
      <c r="J61" s="3"/>
      <c r="K61" s="3"/>
      <c r="L61" s="1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2">
    <mergeCell ref="A5:A6"/>
    <mergeCell ref="A7:A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BTM_PANEL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2026-03-17T16:05:22Z</dcterms:created>
  <dcterms:modified xsi:type="dcterms:W3CDTF">2026-03-17T20:00:52Z</dcterms:modified>
</cp:coreProperties>
</file>