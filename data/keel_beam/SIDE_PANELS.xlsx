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MEN\Aman Dropbox\Aman verma\My PC (LAPTOP-UK6RT4E8)\Downloads\"/>
    </mc:Choice>
  </mc:AlternateContent>
  <xr:revisionPtr revIDLastSave="0" documentId="8_{1E7749FE-0950-41E6-AF4A-B9740CF823C7}" xr6:coauthVersionLast="47" xr6:coauthVersionMax="47" xr10:uidLastSave="{00000000-0000-0000-0000-000000000000}"/>
  <bookViews>
    <workbookView xWindow="-108" yWindow="-108" windowWidth="23256" windowHeight="12456" xr2:uid="{239FA5C8-CCE2-427C-BD0D-49D17E8FFE2A}"/>
  </bookViews>
  <sheets>
    <sheet name="SIDE_PANELS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F4" i="1"/>
  <c r="F5" i="1" s="1"/>
  <c r="G4" i="1"/>
  <c r="D5" i="1" s="1"/>
  <c r="J4" i="1"/>
  <c r="E28" i="1" s="1"/>
  <c r="E30" i="1" s="1"/>
  <c r="M4" i="1"/>
  <c r="Q4" i="1"/>
  <c r="S4" i="1"/>
  <c r="C4" i="1" s="1"/>
  <c r="C5" i="1"/>
  <c r="Q5" i="1"/>
  <c r="S5" i="1"/>
  <c r="C6" i="1"/>
  <c r="Q6" i="1"/>
  <c r="S6" i="1"/>
  <c r="C7" i="1"/>
  <c r="Q7" i="1"/>
  <c r="S7" i="1"/>
  <c r="C8" i="1"/>
  <c r="Q8" i="1"/>
  <c r="S8" i="1"/>
  <c r="C9" i="1"/>
  <c r="Q9" i="1"/>
  <c r="S9" i="1"/>
  <c r="C10" i="1"/>
  <c r="Q10" i="1"/>
  <c r="S10" i="1"/>
  <c r="C11" i="1"/>
  <c r="Q11" i="1"/>
  <c r="S11" i="1"/>
  <c r="Q12" i="1"/>
  <c r="S12" i="1"/>
  <c r="C12" i="1" s="1"/>
  <c r="C13" i="1"/>
  <c r="Q13" i="1"/>
  <c r="S13" i="1"/>
  <c r="C14" i="1"/>
  <c r="Q14" i="1"/>
  <c r="S14" i="1"/>
  <c r="Q15" i="1"/>
  <c r="S15" i="1"/>
  <c r="C15" i="1" s="1"/>
  <c r="Q16" i="1"/>
  <c r="S16" i="1"/>
  <c r="C16" i="1" s="1"/>
  <c r="C17" i="1"/>
  <c r="Q17" i="1"/>
  <c r="S17" i="1"/>
  <c r="C18" i="1"/>
  <c r="Q18" i="1"/>
  <c r="S18" i="1"/>
  <c r="C19" i="1"/>
  <c r="Q19" i="1"/>
  <c r="S19" i="1"/>
  <c r="E20" i="1"/>
  <c r="H20" i="1"/>
  <c r="K20" i="1"/>
  <c r="N20" i="1"/>
  <c r="Q20" i="1"/>
  <c r="S20" i="1"/>
  <c r="C20" i="1" s="1"/>
  <c r="E21" i="1"/>
  <c r="H21" i="1" s="1"/>
  <c r="Q21" i="1"/>
  <c r="S21" i="1"/>
  <c r="C21" i="1" s="1"/>
  <c r="D26" i="1"/>
  <c r="G5" i="1" l="1"/>
  <c r="M5" i="1"/>
  <c r="F6" i="1"/>
  <c r="I5" i="1"/>
  <c r="L5" i="1" s="1"/>
  <c r="O5" i="1" s="1"/>
  <c r="I4" i="1"/>
  <c r="L4" i="1" s="1"/>
  <c r="O4" i="1" s="1"/>
  <c r="I6" i="1" l="1"/>
  <c r="L6" i="1" s="1"/>
  <c r="O6" i="1" s="1"/>
  <c r="F7" i="1"/>
  <c r="J5" i="1"/>
  <c r="D6" i="1"/>
  <c r="G6" i="1" l="1"/>
  <c r="M6" i="1"/>
  <c r="I7" i="1"/>
  <c r="L7" i="1" s="1"/>
  <c r="O7" i="1" s="1"/>
  <c r="F8" i="1"/>
  <c r="D7" i="1" l="1"/>
  <c r="J6" i="1"/>
  <c r="I8" i="1"/>
  <c r="L8" i="1" s="1"/>
  <c r="O8" i="1" s="1"/>
  <c r="F9" i="1"/>
  <c r="F10" i="1" l="1"/>
  <c r="I9" i="1"/>
  <c r="L9" i="1" s="1"/>
  <c r="O9" i="1" s="1"/>
  <c r="G7" i="1"/>
  <c r="M7" i="1"/>
  <c r="F20" i="1" l="1"/>
  <c r="I10" i="1"/>
  <c r="L10" i="1" s="1"/>
  <c r="O10" i="1" s="1"/>
  <c r="F11" i="1"/>
  <c r="J7" i="1"/>
  <c r="D8" i="1"/>
  <c r="M8" i="1" l="1"/>
  <c r="G8" i="1"/>
  <c r="F21" i="1"/>
  <c r="I11" i="1"/>
  <c r="L11" i="1" s="1"/>
  <c r="O11" i="1" s="1"/>
  <c r="F12" i="1"/>
  <c r="J8" i="1" l="1"/>
  <c r="D9" i="1"/>
  <c r="I12" i="1"/>
  <c r="L12" i="1" s="1"/>
  <c r="O12" i="1" s="1"/>
  <c r="F13" i="1"/>
  <c r="O21" i="1"/>
  <c r="I21" i="1"/>
  <c r="L21" i="1" s="1"/>
  <c r="I13" i="1" l="1"/>
  <c r="L13" i="1" s="1"/>
  <c r="O13" i="1" s="1"/>
  <c r="F14" i="1"/>
  <c r="M9" i="1"/>
  <c r="G9" i="1"/>
  <c r="J9" i="1" l="1"/>
  <c r="D10" i="1"/>
  <c r="F15" i="1"/>
  <c r="I14" i="1"/>
  <c r="L14" i="1" s="1"/>
  <c r="O14" i="1" s="1"/>
  <c r="F16" i="1" l="1"/>
  <c r="I15" i="1"/>
  <c r="L15" i="1" s="1"/>
  <c r="O15" i="1" s="1"/>
  <c r="M10" i="1"/>
  <c r="D20" i="1"/>
  <c r="G10" i="1"/>
  <c r="I20" i="1" l="1"/>
  <c r="L20" i="1" s="1"/>
  <c r="O20" i="1" s="1"/>
  <c r="F17" i="1"/>
  <c r="I16" i="1"/>
  <c r="L16" i="1" s="1"/>
  <c r="O16" i="1" s="1"/>
  <c r="D11" i="1"/>
  <c r="J10" i="1"/>
  <c r="M11" i="1" l="1"/>
  <c r="D21" i="1"/>
  <c r="M20" i="1"/>
  <c r="G11" i="1"/>
  <c r="F18" i="1"/>
  <c r="I17" i="1"/>
  <c r="L17" i="1" s="1"/>
  <c r="O17" i="1" s="1"/>
  <c r="I18" i="1" l="1"/>
  <c r="L18" i="1" s="1"/>
  <c r="O18" i="1" s="1"/>
  <c r="F19" i="1"/>
  <c r="I19" i="1" s="1"/>
  <c r="L19" i="1" s="1"/>
  <c r="O19" i="1" s="1"/>
  <c r="D12" i="1"/>
  <c r="J11" i="1"/>
  <c r="J21" i="1"/>
  <c r="G21" i="1"/>
  <c r="M21" i="1"/>
  <c r="G12" i="1" l="1"/>
  <c r="M12" i="1"/>
  <c r="J12" i="1" l="1"/>
  <c r="D13" i="1"/>
  <c r="M13" i="1" l="1"/>
  <c r="G13" i="1"/>
  <c r="J13" i="1" l="1"/>
  <c r="D14" i="1"/>
  <c r="J20" i="1" l="1"/>
  <c r="G14" i="1"/>
  <c r="M14" i="1"/>
  <c r="D15" i="1" l="1"/>
  <c r="J14" i="1"/>
  <c r="G15" i="1" l="1"/>
  <c r="M15" i="1"/>
  <c r="J15" i="1" l="1"/>
  <c r="D16" i="1"/>
  <c r="G20" i="1" l="1"/>
  <c r="G16" i="1"/>
  <c r="M16" i="1"/>
  <c r="D17" i="1" l="1"/>
  <c r="J16" i="1"/>
  <c r="G17" i="1" l="1"/>
  <c r="M17" i="1"/>
  <c r="J17" i="1" l="1"/>
  <c r="D18" i="1"/>
  <c r="G18" i="1" l="1"/>
  <c r="M18" i="1"/>
  <c r="J18" i="1" l="1"/>
  <c r="D19" i="1"/>
  <c r="G19" i="1" l="1"/>
  <c r="J19" i="1" s="1"/>
  <c r="M19" i="1"/>
</calcChain>
</file>

<file path=xl/sharedStrings.xml><?xml version="1.0" encoding="utf-8"?>
<sst xmlns="http://schemas.openxmlformats.org/spreadsheetml/2006/main" count="38" uniqueCount="37">
  <si>
    <t>Reduce to 10% to account for edge reinforcement</t>
  </si>
  <si>
    <t>%</t>
  </si>
  <si>
    <t>% delta for hole =</t>
  </si>
  <si>
    <t>mm^2</t>
  </si>
  <si>
    <t>Plane panel area =</t>
  </si>
  <si>
    <t>Area</t>
  </si>
  <si>
    <t>mm</t>
  </si>
  <si>
    <t>B</t>
  </si>
  <si>
    <t>A</t>
  </si>
  <si>
    <t>Account for Access Holes</t>
  </si>
  <si>
    <t>SIDE PANEL EXTENSIONS</t>
  </si>
  <si>
    <t>SIDE_PANEL_FQDs</t>
  </si>
  <si>
    <t>Volume (mm^3)</t>
  </si>
  <si>
    <t>Area (mm^2)</t>
  </si>
  <si>
    <t>T2</t>
  </si>
  <si>
    <t>Thickness</t>
  </si>
  <si>
    <t>Z4</t>
  </si>
  <si>
    <t>Y4</t>
  </si>
  <si>
    <t>X4</t>
  </si>
  <si>
    <t>Z3</t>
  </si>
  <si>
    <t>Y3</t>
  </si>
  <si>
    <t>X3</t>
  </si>
  <si>
    <t>Z2</t>
  </si>
  <si>
    <t>Y2</t>
  </si>
  <si>
    <t>X2</t>
  </si>
  <si>
    <t>Z1</t>
  </si>
  <si>
    <t>Y1</t>
  </si>
  <si>
    <t>X1</t>
  </si>
  <si>
    <t>Mass</t>
  </si>
  <si>
    <t>FQD</t>
  </si>
  <si>
    <t>Dimensions = mm</t>
  </si>
  <si>
    <t>SYM</t>
  </si>
  <si>
    <t>Mass = grammes</t>
  </si>
  <si>
    <t>Units are:</t>
  </si>
  <si>
    <t>g/cm^3</t>
  </si>
  <si>
    <t>(Purpose = Define KEEL_BEAM_SIDE_PANEL Primitives)</t>
  </si>
  <si>
    <t>SIDE_PANEL PRIMITIVES GEOMETRY - all units in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</si>
</sst>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00"/>
  </numFmts>
  <fonts count="8" x14ac:knownFonts="1">
    <font>
      <sz val="10"/>
      <color rgb="FF000000"/>
      <name val="Arial"/>
      <scheme val="minor"/>
    </font>
    <font>
      <sz val="12"/>
      <color rgb="FF000000"/>
      <name val="Arial"/>
      <scheme val="minor"/>
    </font>
    <font>
      <b/>
      <sz val="12"/>
      <color rgb="FF000000"/>
      <name val="Arial"/>
      <scheme val="minor"/>
    </font>
    <font>
      <sz val="10"/>
      <name val="Arial"/>
    </font>
    <font>
      <sz val="12"/>
      <color rgb="FFFF0000"/>
      <name val="Arial"/>
      <scheme val="minor"/>
    </font>
    <font>
      <i/>
      <sz val="12"/>
      <color rgb="FFFF0000"/>
      <name val="Arial"/>
    </font>
    <font>
      <sz val="10"/>
      <color rgb="FFFF0000"/>
      <name val="Arial"/>
    </font>
    <font>
      <b/>
      <sz val="12"/>
      <color rgb="FFFF000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" fontId="1" fillId="0" borderId="1" xfId="0" applyNumberFormat="1" applyFont="1" applyBorder="1" applyAlignment="1">
      <alignment horizontal="left"/>
    </xf>
    <xf numFmtId="165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0" fontId="3" fillId="0" borderId="4" xfId="0" applyFont="1" applyBorder="1"/>
    <xf numFmtId="0" fontId="1" fillId="0" borderId="3" xfId="0" applyFont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2" borderId="0" xfId="0" applyFont="1" applyFill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166" fontId="5" fillId="0" borderId="0" xfId="0" applyNumberFormat="1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EN\Aman%20Dropbox\Aman%20verma\My%20PC%20(LAPTOP-UK6RT4E8)\Downloads\INPUTS.xlsx" TargetMode="External"/><Relationship Id="rId1" Type="http://schemas.openxmlformats.org/officeDocument/2006/relationships/externalLinkPath" Target="INPU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EN\Aman%20Dropbox\Aman%20verma\My%20PC%20(LAPTOP-UK6RT4E8)\Downloads\GEOMETRY_PROCESSING.xlsx" TargetMode="External"/><Relationship Id="rId1" Type="http://schemas.openxmlformats.org/officeDocument/2006/relationships/externalLinkPath" Target="GEOMETRY_PROCESS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EN\Aman%20Dropbox\Aman%20verma\My%20PC%20(LAPTOP-UK6RT4E8)\Downloads\PROBOT_KEEL_BEAM_VALIDATION.xlsx" TargetMode="External"/><Relationship Id="rId1" Type="http://schemas.openxmlformats.org/officeDocument/2006/relationships/externalLinkPath" Target="PROBOT_KEEL_BEAM_VALID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</sheetNames>
    <sheetDataSet>
      <sheetData sheetId="0">
        <row r="4">
          <cell r="G4">
            <v>19634.2</v>
          </cell>
        </row>
        <row r="5">
          <cell r="G5">
            <v>25628.6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OMETRY_PROCESSING"/>
    </sheetNames>
    <sheetDataSet>
      <sheetData sheetId="0">
        <row r="6">
          <cell r="C6">
            <v>-877.37949133175096</v>
          </cell>
        </row>
        <row r="68">
          <cell r="C68">
            <v>-2148.0277120629039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P_PANEL"/>
      <sheetName val="BTM_PANEL"/>
      <sheetName val="STRINGERS_&amp;_EDGE_REINFORCEMENTS"/>
      <sheetName val="RIBS"/>
      <sheetName val="LOCAL_ATTACHMENTS"/>
      <sheetName val="VALIDATION"/>
    </sheetNames>
    <sheetDataSet>
      <sheetData sheetId="0"/>
      <sheetData sheetId="1">
        <row r="4">
          <cell r="V4">
            <v>3</v>
          </cell>
        </row>
        <row r="5">
          <cell r="V5">
            <v>5</v>
          </cell>
        </row>
        <row r="6">
          <cell r="V6">
            <v>4</v>
          </cell>
        </row>
        <row r="7">
          <cell r="V7">
            <v>5</v>
          </cell>
        </row>
        <row r="8">
          <cell r="V8">
            <v>5</v>
          </cell>
        </row>
        <row r="9">
          <cell r="V9">
            <v>5</v>
          </cell>
        </row>
        <row r="10">
          <cell r="V10">
            <v>5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D1A4E-3AD5-4A59-AC38-0E2A56C0818E}">
  <sheetPr>
    <outlinePr summaryBelow="0" summaryRight="0"/>
  </sheetPr>
  <dimension ref="A1:T966"/>
  <sheetViews>
    <sheetView tabSelected="1" workbookViewId="0">
      <pane ySplit="3" topLeftCell="A4" activePane="bottomLeft" state="frozen"/>
      <selection pane="bottomLeft" activeCell="E11" sqref="E11"/>
    </sheetView>
  </sheetViews>
  <sheetFormatPr defaultColWidth="12.6640625" defaultRowHeight="15.75" customHeight="1" x14ac:dyDescent="0.25"/>
  <cols>
    <col min="1" max="1" width="25.77734375" customWidth="1"/>
    <col min="10" max="12" width="14.77734375" customWidth="1"/>
    <col min="18" max="19" width="15.21875" customWidth="1"/>
  </cols>
  <sheetData>
    <row r="1" spans="1:20" ht="15.6" x14ac:dyDescent="0.25">
      <c r="A1" s="1"/>
      <c r="B1" s="31" t="s">
        <v>36</v>
      </c>
      <c r="C1" s="30"/>
      <c r="D1" s="30"/>
      <c r="E1" s="30"/>
      <c r="F1" s="30"/>
      <c r="G1" s="29" t="s">
        <v>35</v>
      </c>
      <c r="H1" s="28"/>
      <c r="I1" s="28"/>
      <c r="J1" s="28"/>
      <c r="K1" s="27">
        <v>2.83</v>
      </c>
      <c r="L1" s="26" t="s">
        <v>34</v>
      </c>
      <c r="M1" s="25" t="s">
        <v>33</v>
      </c>
      <c r="N1" s="24" t="s">
        <v>32</v>
      </c>
      <c r="O1" s="20"/>
      <c r="P1" s="23" t="s">
        <v>31</v>
      </c>
      <c r="Q1" s="23" t="b">
        <v>1</v>
      </c>
      <c r="R1" s="1"/>
      <c r="S1" s="1"/>
      <c r="T1" s="1"/>
    </row>
    <row r="2" spans="1:20" ht="15.6" x14ac:dyDescent="0.25">
      <c r="A2" s="1"/>
      <c r="B2" s="1"/>
      <c r="C2" s="1"/>
      <c r="D2" s="1"/>
      <c r="E2" s="1"/>
      <c r="F2" s="1"/>
      <c r="G2" s="20"/>
      <c r="H2" s="20"/>
      <c r="I2" s="20"/>
      <c r="J2" s="20"/>
      <c r="K2" s="20"/>
      <c r="L2" s="20"/>
      <c r="M2" s="22"/>
      <c r="N2" s="21" t="s">
        <v>30</v>
      </c>
      <c r="O2" s="20"/>
      <c r="P2" s="20"/>
      <c r="Q2" s="20"/>
      <c r="R2" s="1"/>
      <c r="S2" s="1"/>
      <c r="T2" s="1"/>
    </row>
    <row r="3" spans="1:20" ht="15.75" customHeight="1" x14ac:dyDescent="0.3">
      <c r="A3" s="1"/>
      <c r="B3" s="19" t="s">
        <v>29</v>
      </c>
      <c r="C3" s="18" t="s">
        <v>28</v>
      </c>
      <c r="D3" s="18" t="s">
        <v>27</v>
      </c>
      <c r="E3" s="18" t="s">
        <v>26</v>
      </c>
      <c r="F3" s="18" t="s">
        <v>25</v>
      </c>
      <c r="G3" s="17" t="s">
        <v>24</v>
      </c>
      <c r="H3" s="17" t="s">
        <v>23</v>
      </c>
      <c r="I3" s="17" t="s">
        <v>22</v>
      </c>
      <c r="J3" s="16" t="s">
        <v>21</v>
      </c>
      <c r="K3" s="16" t="s">
        <v>20</v>
      </c>
      <c r="L3" s="16" t="s">
        <v>19</v>
      </c>
      <c r="M3" s="15" t="s">
        <v>18</v>
      </c>
      <c r="N3" s="15" t="s">
        <v>17</v>
      </c>
      <c r="O3" s="15" t="s">
        <v>16</v>
      </c>
      <c r="P3" s="15" t="s">
        <v>15</v>
      </c>
      <c r="Q3" s="15" t="s">
        <v>14</v>
      </c>
      <c r="R3" s="14" t="s">
        <v>13</v>
      </c>
      <c r="S3" s="14" t="s">
        <v>12</v>
      </c>
      <c r="T3" s="1"/>
    </row>
    <row r="4" spans="1:20" ht="15" x14ac:dyDescent="0.25">
      <c r="A4" s="13" t="s">
        <v>11</v>
      </c>
      <c r="B4" s="9">
        <v>1</v>
      </c>
      <c r="C4" s="6">
        <f>S4*0.00283</f>
        <v>488.97624374999998</v>
      </c>
      <c r="D4" s="8">
        <f>[1]INPUTS!G4</f>
        <v>19634.2</v>
      </c>
      <c r="E4" s="8">
        <v>-262.5</v>
      </c>
      <c r="F4" s="8">
        <f>[2]GEOMETRY_PROCESSING!C68+AVERAGE([3]BTM_PANEL!V4:V10)</f>
        <v>-2143.4562834914755</v>
      </c>
      <c r="G4" s="8">
        <f>D4+([1]INPUTS!$G$5-533.4-[1]INPUTS!$G$4)/16</f>
        <v>19975.512500000001</v>
      </c>
      <c r="H4" s="8">
        <v>-262.5</v>
      </c>
      <c r="I4" s="8">
        <f>F4</f>
        <v>-2143.4562834914755</v>
      </c>
      <c r="J4" s="8">
        <f>G4</f>
        <v>19975.512500000001</v>
      </c>
      <c r="K4" s="8">
        <v>-262.5</v>
      </c>
      <c r="L4" s="8">
        <f>I4+225</f>
        <v>-1918.4562834914755</v>
      </c>
      <c r="M4" s="8">
        <f>D4</f>
        <v>19634.2</v>
      </c>
      <c r="N4" s="8">
        <v>-262.5</v>
      </c>
      <c r="O4" s="8">
        <f>L4</f>
        <v>-1918.4562834914755</v>
      </c>
      <c r="P4" s="7">
        <v>-2.5</v>
      </c>
      <c r="Q4" s="7">
        <f>P4</f>
        <v>-2.5</v>
      </c>
      <c r="R4" s="6">
        <v>76792.5</v>
      </c>
      <c r="S4" s="6">
        <f>(0.9*R4)*SQRT(P4^2)</f>
        <v>172783.125</v>
      </c>
      <c r="T4" s="1"/>
    </row>
    <row r="5" spans="1:20" ht="15" x14ac:dyDescent="0.25">
      <c r="A5" s="12"/>
      <c r="B5" s="9">
        <v>2</v>
      </c>
      <c r="C5" s="6">
        <f>S5*0.00283</f>
        <v>782.36198999999999</v>
      </c>
      <c r="D5" s="8">
        <f>G4</f>
        <v>19975.512500000001</v>
      </c>
      <c r="E5" s="8">
        <v>-262.5</v>
      </c>
      <c r="F5" s="8">
        <f>F4</f>
        <v>-2143.4562834914755</v>
      </c>
      <c r="G5" s="8">
        <f>D5+([1]INPUTS!$G$5-533.4-[1]INPUTS!$G$4)/16</f>
        <v>20316.825000000001</v>
      </c>
      <c r="H5" s="8">
        <v>-262.5</v>
      </c>
      <c r="I5" s="8">
        <f>F5</f>
        <v>-2143.4562834914755</v>
      </c>
      <c r="J5" s="8">
        <f>G5</f>
        <v>20316.825000000001</v>
      </c>
      <c r="K5" s="8">
        <v>-262.5</v>
      </c>
      <c r="L5" s="8">
        <f>I5+225</f>
        <v>-1918.4562834914755</v>
      </c>
      <c r="M5" s="8">
        <f>D5</f>
        <v>19975.512500000001</v>
      </c>
      <c r="N5" s="8">
        <v>-262.5</v>
      </c>
      <c r="O5" s="8">
        <f>L5</f>
        <v>-1918.4562834914755</v>
      </c>
      <c r="P5" s="7">
        <v>-4</v>
      </c>
      <c r="Q5" s="7">
        <f>P5</f>
        <v>-4</v>
      </c>
      <c r="R5" s="6">
        <v>76792.5</v>
      </c>
      <c r="S5" s="6">
        <f>(0.9*R5)*SQRT(P5^2)</f>
        <v>276453</v>
      </c>
      <c r="T5" s="1"/>
    </row>
    <row r="6" spans="1:20" ht="15" x14ac:dyDescent="0.25">
      <c r="A6" s="12"/>
      <c r="B6" s="9">
        <v>3</v>
      </c>
      <c r="C6" s="6">
        <f>S6*0.00283</f>
        <v>782.36198999999999</v>
      </c>
      <c r="D6" s="8">
        <f>G5</f>
        <v>20316.825000000001</v>
      </c>
      <c r="E6" s="8">
        <v>-262.5</v>
      </c>
      <c r="F6" s="8">
        <f>F5</f>
        <v>-2143.4562834914755</v>
      </c>
      <c r="G6" s="8">
        <f>D6+([1]INPUTS!$G$5-533.4-[1]INPUTS!$G$4)/16</f>
        <v>20658.137500000001</v>
      </c>
      <c r="H6" s="8">
        <v>-262.5</v>
      </c>
      <c r="I6" s="8">
        <f>F6</f>
        <v>-2143.4562834914755</v>
      </c>
      <c r="J6" s="8">
        <f>G6</f>
        <v>20658.137500000001</v>
      </c>
      <c r="K6" s="8">
        <v>-262.5</v>
      </c>
      <c r="L6" s="8">
        <f>I6+225</f>
        <v>-1918.4562834914755</v>
      </c>
      <c r="M6" s="8">
        <f>D6</f>
        <v>20316.825000000001</v>
      </c>
      <c r="N6" s="8">
        <v>-262.5</v>
      </c>
      <c r="O6" s="8">
        <f>L6</f>
        <v>-1918.4562834914755</v>
      </c>
      <c r="P6" s="7">
        <v>-4</v>
      </c>
      <c r="Q6" s="7">
        <f>P6</f>
        <v>-4</v>
      </c>
      <c r="R6" s="6">
        <v>76792.5</v>
      </c>
      <c r="S6" s="6">
        <f>(0.9*R6)*SQRT(P6^2)</f>
        <v>276453</v>
      </c>
      <c r="T6" s="1"/>
    </row>
    <row r="7" spans="1:20" ht="15" x14ac:dyDescent="0.25">
      <c r="A7" s="12"/>
      <c r="B7" s="9">
        <v>4</v>
      </c>
      <c r="C7" s="6">
        <f>S7*0.00283</f>
        <v>782.59122000000002</v>
      </c>
      <c r="D7" s="8">
        <f>G6</f>
        <v>20658.137500000001</v>
      </c>
      <c r="E7" s="8">
        <v>-262.5</v>
      </c>
      <c r="F7" s="8">
        <f>F6</f>
        <v>-2143.4562834914755</v>
      </c>
      <c r="G7" s="8">
        <f>D7+([1]INPUTS!$G$5-533.4-[1]INPUTS!$G$4)/16</f>
        <v>20999.45</v>
      </c>
      <c r="H7" s="8">
        <v>-262.5</v>
      </c>
      <c r="I7" s="8">
        <f>F7</f>
        <v>-2143.4562834914755</v>
      </c>
      <c r="J7" s="8">
        <f>G7</f>
        <v>20999.45</v>
      </c>
      <c r="K7" s="8">
        <v>-262.5</v>
      </c>
      <c r="L7" s="8">
        <f>I7+225</f>
        <v>-1918.4562834914755</v>
      </c>
      <c r="M7" s="8">
        <f>D7</f>
        <v>20658.137500000001</v>
      </c>
      <c r="N7" s="8">
        <v>-262.5</v>
      </c>
      <c r="O7" s="8">
        <f>L7</f>
        <v>-1918.4562834914755</v>
      </c>
      <c r="P7" s="7">
        <v>-4</v>
      </c>
      <c r="Q7" s="7">
        <f>P7</f>
        <v>-4</v>
      </c>
      <c r="R7" s="6">
        <v>76815</v>
      </c>
      <c r="S7" s="6">
        <f>(0.9*R7)*SQRT(P7^2)</f>
        <v>276534</v>
      </c>
      <c r="T7" s="1"/>
    </row>
    <row r="8" spans="1:20" ht="15" x14ac:dyDescent="0.25">
      <c r="A8" s="12"/>
      <c r="B8" s="9">
        <v>5</v>
      </c>
      <c r="C8" s="6">
        <f>S8*0.00283</f>
        <v>782.36198999999999</v>
      </c>
      <c r="D8" s="8">
        <f>G7</f>
        <v>20999.45</v>
      </c>
      <c r="E8" s="8">
        <v>-262.5</v>
      </c>
      <c r="F8" s="8">
        <f>F7</f>
        <v>-2143.4562834914755</v>
      </c>
      <c r="G8" s="8">
        <f>D8+([1]INPUTS!$G$5-533.4-[1]INPUTS!$G$4)/16</f>
        <v>21340.762500000001</v>
      </c>
      <c r="H8" s="8">
        <v>-262.5</v>
      </c>
      <c r="I8" s="8">
        <f>F8</f>
        <v>-2143.4562834914755</v>
      </c>
      <c r="J8" s="8">
        <f>G8</f>
        <v>21340.762500000001</v>
      </c>
      <c r="K8" s="8">
        <v>-262.5</v>
      </c>
      <c r="L8" s="8">
        <f>I8+225</f>
        <v>-1918.4562834914755</v>
      </c>
      <c r="M8" s="8">
        <f>D8</f>
        <v>20999.45</v>
      </c>
      <c r="N8" s="8">
        <v>-262.5</v>
      </c>
      <c r="O8" s="8">
        <f>L8</f>
        <v>-1918.4562834914755</v>
      </c>
      <c r="P8" s="7">
        <v>-4</v>
      </c>
      <c r="Q8" s="7">
        <f>P8</f>
        <v>-4</v>
      </c>
      <c r="R8" s="6">
        <v>76792.5</v>
      </c>
      <c r="S8" s="6">
        <f>(0.9*R8)*SQRT(P8^2)</f>
        <v>276453</v>
      </c>
      <c r="T8" s="1"/>
    </row>
    <row r="9" spans="1:20" ht="15" x14ac:dyDescent="0.25">
      <c r="A9" s="12"/>
      <c r="B9" s="9">
        <v>6</v>
      </c>
      <c r="C9" s="6">
        <f>S9*0.00283</f>
        <v>782.36198999999999</v>
      </c>
      <c r="D9" s="8">
        <f>G8</f>
        <v>21340.762500000001</v>
      </c>
      <c r="E9" s="8">
        <v>-262.5</v>
      </c>
      <c r="F9" s="8">
        <f>F8</f>
        <v>-2143.4562834914755</v>
      </c>
      <c r="G9" s="8">
        <f>D9+([1]INPUTS!$G$5-533.4-[1]INPUTS!$G$4)/16</f>
        <v>21682.075000000001</v>
      </c>
      <c r="H9" s="8">
        <v>-262.5</v>
      </c>
      <c r="I9" s="8">
        <f>F9</f>
        <v>-2143.4562834914755</v>
      </c>
      <c r="J9" s="8">
        <f>G9</f>
        <v>21682.075000000001</v>
      </c>
      <c r="K9" s="8">
        <v>-262.5</v>
      </c>
      <c r="L9" s="8">
        <f>I9+225</f>
        <v>-1918.4562834914755</v>
      </c>
      <c r="M9" s="8">
        <f>D9</f>
        <v>21340.762500000001</v>
      </c>
      <c r="N9" s="8">
        <v>-262.5</v>
      </c>
      <c r="O9" s="8">
        <f>L9</f>
        <v>-1918.4562834914755</v>
      </c>
      <c r="P9" s="7">
        <v>-4</v>
      </c>
      <c r="Q9" s="7">
        <f>P9</f>
        <v>-4</v>
      </c>
      <c r="R9" s="6">
        <v>76792.5</v>
      </c>
      <c r="S9" s="6">
        <f>(0.9*R9)*SQRT(P9^2)</f>
        <v>276453</v>
      </c>
      <c r="T9" s="1"/>
    </row>
    <row r="10" spans="1:20" ht="15" x14ac:dyDescent="0.25">
      <c r="A10" s="12"/>
      <c r="B10" s="9">
        <v>7</v>
      </c>
      <c r="C10" s="6">
        <f>S10*0.00283</f>
        <v>782.36198999999999</v>
      </c>
      <c r="D10" s="8">
        <f>G9</f>
        <v>21682.075000000001</v>
      </c>
      <c r="E10" s="8">
        <v>-262.5</v>
      </c>
      <c r="F10" s="8">
        <f>F9</f>
        <v>-2143.4562834914755</v>
      </c>
      <c r="G10" s="8">
        <f>D10+([1]INPUTS!$G$5-533.4-[1]INPUTS!$G$4)/16</f>
        <v>22023.387500000001</v>
      </c>
      <c r="H10" s="8">
        <v>-262.5</v>
      </c>
      <c r="I10" s="8">
        <f>F10</f>
        <v>-2143.4562834914755</v>
      </c>
      <c r="J10" s="8">
        <f>G10</f>
        <v>22023.387500000001</v>
      </c>
      <c r="K10" s="8">
        <v>-262.5</v>
      </c>
      <c r="L10" s="8">
        <f>I10+225</f>
        <v>-1918.4562834914755</v>
      </c>
      <c r="M10" s="8">
        <f>D10</f>
        <v>21682.075000000001</v>
      </c>
      <c r="N10" s="8">
        <v>-262.5</v>
      </c>
      <c r="O10" s="8">
        <f>L10</f>
        <v>-1918.4562834914755</v>
      </c>
      <c r="P10" s="7">
        <v>-4</v>
      </c>
      <c r="Q10" s="7">
        <f>P10</f>
        <v>-4</v>
      </c>
      <c r="R10" s="6">
        <v>76792.5</v>
      </c>
      <c r="S10" s="6">
        <f>(0.9*R10)*SQRT(P10^2)</f>
        <v>276453</v>
      </c>
      <c r="T10" s="1"/>
    </row>
    <row r="11" spans="1:20" ht="15" x14ac:dyDescent="0.25">
      <c r="A11" s="12"/>
      <c r="B11" s="9">
        <v>8</v>
      </c>
      <c r="C11" s="6">
        <f>S11*0.00283</f>
        <v>977.95248749999996</v>
      </c>
      <c r="D11" s="8">
        <f>G10</f>
        <v>22023.387500000001</v>
      </c>
      <c r="E11" s="8">
        <v>-262.5</v>
      </c>
      <c r="F11" s="8">
        <f>F10</f>
        <v>-2143.4562834914755</v>
      </c>
      <c r="G11" s="8">
        <f>D11+([1]INPUTS!$G$5-533.4-[1]INPUTS!$G$4)/16</f>
        <v>22364.7</v>
      </c>
      <c r="H11" s="8">
        <v>-262.5</v>
      </c>
      <c r="I11" s="8">
        <f>F11</f>
        <v>-2143.4562834914755</v>
      </c>
      <c r="J11" s="8">
        <f>G11</f>
        <v>22364.7</v>
      </c>
      <c r="K11" s="8">
        <v>-262.5</v>
      </c>
      <c r="L11" s="8">
        <f>I11+225</f>
        <v>-1918.4562834914755</v>
      </c>
      <c r="M11" s="8">
        <f>D11</f>
        <v>22023.387500000001</v>
      </c>
      <c r="N11" s="8">
        <v>-262.5</v>
      </c>
      <c r="O11" s="8">
        <f>L11</f>
        <v>-1918.4562834914755</v>
      </c>
      <c r="P11" s="7">
        <v>-5</v>
      </c>
      <c r="Q11" s="7">
        <f>P11</f>
        <v>-5</v>
      </c>
      <c r="R11" s="6">
        <v>76792.5</v>
      </c>
      <c r="S11" s="6">
        <f>(0.9*R11)*SQRT(P11^2)</f>
        <v>345566.25</v>
      </c>
      <c r="T11" s="1"/>
    </row>
    <row r="12" spans="1:20" ht="15" x14ac:dyDescent="0.25">
      <c r="A12" s="12"/>
      <c r="B12" s="9">
        <v>9</v>
      </c>
      <c r="C12" s="6">
        <f>S12*0.00283</f>
        <v>977.95248749999996</v>
      </c>
      <c r="D12" s="8">
        <f>G11</f>
        <v>22364.7</v>
      </c>
      <c r="E12" s="8">
        <v>-262.5</v>
      </c>
      <c r="F12" s="8">
        <f>F11</f>
        <v>-2143.4562834914755</v>
      </c>
      <c r="G12" s="8">
        <f>D12+([1]INPUTS!$G$5-533.4-[1]INPUTS!$G$4)/16</f>
        <v>22706.012500000001</v>
      </c>
      <c r="H12" s="8">
        <v>-262.5</v>
      </c>
      <c r="I12" s="8">
        <f>F12</f>
        <v>-2143.4562834914755</v>
      </c>
      <c r="J12" s="8">
        <f>G12</f>
        <v>22706.012500000001</v>
      </c>
      <c r="K12" s="8">
        <v>-262.5</v>
      </c>
      <c r="L12" s="8">
        <f>I12+225</f>
        <v>-1918.4562834914755</v>
      </c>
      <c r="M12" s="8">
        <f>D12</f>
        <v>22364.7</v>
      </c>
      <c r="N12" s="8">
        <v>-262.5</v>
      </c>
      <c r="O12" s="8">
        <f>L12</f>
        <v>-1918.4562834914755</v>
      </c>
      <c r="P12" s="7">
        <v>-5</v>
      </c>
      <c r="Q12" s="7">
        <f>P12</f>
        <v>-5</v>
      </c>
      <c r="R12" s="6">
        <v>76792.5</v>
      </c>
      <c r="S12" s="6">
        <f>(0.9*R12)*SQRT(P12^2)</f>
        <v>345566.25</v>
      </c>
      <c r="T12" s="1"/>
    </row>
    <row r="13" spans="1:20" ht="15" x14ac:dyDescent="0.25">
      <c r="A13" s="12"/>
      <c r="B13" s="9">
        <v>10</v>
      </c>
      <c r="C13" s="6">
        <f>S13*0.00283</f>
        <v>977.95248749999996</v>
      </c>
      <c r="D13" s="8">
        <f>G12</f>
        <v>22706.012500000001</v>
      </c>
      <c r="E13" s="8">
        <v>-262.5</v>
      </c>
      <c r="F13" s="8">
        <f>F12</f>
        <v>-2143.4562834914755</v>
      </c>
      <c r="G13" s="8">
        <f>D13+([1]INPUTS!$G$5-533.4-[1]INPUTS!$G$4)/16</f>
        <v>23047.325000000001</v>
      </c>
      <c r="H13" s="8">
        <v>-262.5</v>
      </c>
      <c r="I13" s="8">
        <f>F13</f>
        <v>-2143.4562834914755</v>
      </c>
      <c r="J13" s="8">
        <f>G13</f>
        <v>23047.325000000001</v>
      </c>
      <c r="K13" s="8">
        <v>-262.5</v>
      </c>
      <c r="L13" s="8">
        <f>I13+225</f>
        <v>-1918.4562834914755</v>
      </c>
      <c r="M13" s="8">
        <f>D13</f>
        <v>22706.012500000001</v>
      </c>
      <c r="N13" s="8">
        <v>-262.5</v>
      </c>
      <c r="O13" s="8">
        <f>L13</f>
        <v>-1918.4562834914755</v>
      </c>
      <c r="P13" s="7">
        <v>-5</v>
      </c>
      <c r="Q13" s="7">
        <f>P13</f>
        <v>-5</v>
      </c>
      <c r="R13" s="6">
        <v>76792.5</v>
      </c>
      <c r="S13" s="6">
        <f>(0.9*R13)*SQRT(P13^2)</f>
        <v>345566.25</v>
      </c>
      <c r="T13" s="1"/>
    </row>
    <row r="14" spans="1:20" ht="15" x14ac:dyDescent="0.25">
      <c r="A14" s="12"/>
      <c r="B14" s="9">
        <v>11</v>
      </c>
      <c r="C14" s="6">
        <f>S14*0.00283</f>
        <v>977.95248749999996</v>
      </c>
      <c r="D14" s="8">
        <f>G13</f>
        <v>23047.325000000001</v>
      </c>
      <c r="E14" s="8">
        <v>-262.5</v>
      </c>
      <c r="F14" s="8">
        <f>F13</f>
        <v>-2143.4562834914755</v>
      </c>
      <c r="G14" s="8">
        <f>D14+([1]INPUTS!$G$5-533.4-[1]INPUTS!$G$4)/16</f>
        <v>23388.637500000001</v>
      </c>
      <c r="H14" s="8">
        <v>-262.5</v>
      </c>
      <c r="I14" s="8">
        <f>F14</f>
        <v>-2143.4562834914755</v>
      </c>
      <c r="J14" s="8">
        <f>G14</f>
        <v>23388.637500000001</v>
      </c>
      <c r="K14" s="8">
        <v>-262.5</v>
      </c>
      <c r="L14" s="8">
        <f>I14+225</f>
        <v>-1918.4562834914755</v>
      </c>
      <c r="M14" s="8">
        <f>D14</f>
        <v>23047.325000000001</v>
      </c>
      <c r="N14" s="8">
        <v>-262.5</v>
      </c>
      <c r="O14" s="8">
        <f>L14</f>
        <v>-1918.4562834914755</v>
      </c>
      <c r="P14" s="7">
        <v>-5</v>
      </c>
      <c r="Q14" s="7">
        <f>P14</f>
        <v>-5</v>
      </c>
      <c r="R14" s="6">
        <v>76792.5</v>
      </c>
      <c r="S14" s="6">
        <f>(0.9*R14)*SQRT(P14^2)</f>
        <v>345566.25</v>
      </c>
      <c r="T14" s="1"/>
    </row>
    <row r="15" spans="1:20" ht="15" x14ac:dyDescent="0.25">
      <c r="A15" s="12"/>
      <c r="B15" s="9">
        <v>12</v>
      </c>
      <c r="C15" s="6">
        <f>S15*0.00283</f>
        <v>1369.534635</v>
      </c>
      <c r="D15" s="8">
        <f>G14</f>
        <v>23388.637500000001</v>
      </c>
      <c r="E15" s="8">
        <v>-262.5</v>
      </c>
      <c r="F15" s="8">
        <f>F14</f>
        <v>-2143.4562834914755</v>
      </c>
      <c r="G15" s="8">
        <f>D15+([1]INPUTS!$G$5-533.4-[1]INPUTS!$G$4)/16</f>
        <v>23729.95</v>
      </c>
      <c r="H15" s="8">
        <v>-262.5</v>
      </c>
      <c r="I15" s="8">
        <f>F15</f>
        <v>-2143.4562834914755</v>
      </c>
      <c r="J15" s="8">
        <f>G15</f>
        <v>23729.95</v>
      </c>
      <c r="K15" s="8">
        <v>-262.5</v>
      </c>
      <c r="L15" s="8">
        <f>I15+225</f>
        <v>-1918.4562834914755</v>
      </c>
      <c r="M15" s="8">
        <f>D15</f>
        <v>23388.637500000001</v>
      </c>
      <c r="N15" s="8">
        <v>-262.5</v>
      </c>
      <c r="O15" s="8">
        <f>L15</f>
        <v>-1918.4562834914755</v>
      </c>
      <c r="P15" s="7">
        <v>-7</v>
      </c>
      <c r="Q15" s="7">
        <f>P15</f>
        <v>-7</v>
      </c>
      <c r="R15" s="6">
        <v>76815</v>
      </c>
      <c r="S15" s="6">
        <f>(0.9*R15)*SQRT(P15^2)</f>
        <v>483934.5</v>
      </c>
      <c r="T15" s="1"/>
    </row>
    <row r="16" spans="1:20" ht="15" x14ac:dyDescent="0.25">
      <c r="A16" s="12"/>
      <c r="B16" s="9">
        <v>13</v>
      </c>
      <c r="C16" s="6">
        <f>S16*0.00283</f>
        <v>1369.1334825000001</v>
      </c>
      <c r="D16" s="8">
        <f>G15</f>
        <v>23729.95</v>
      </c>
      <c r="E16" s="8">
        <v>-262.5</v>
      </c>
      <c r="F16" s="8">
        <f>F15</f>
        <v>-2143.4562834914755</v>
      </c>
      <c r="G16" s="8">
        <f>D16+([1]INPUTS!$G$5-533.4-[1]INPUTS!$G$4)/16</f>
        <v>24071.262500000001</v>
      </c>
      <c r="H16" s="8">
        <v>-262.5</v>
      </c>
      <c r="I16" s="8">
        <f>F16</f>
        <v>-2143.4562834914755</v>
      </c>
      <c r="J16" s="8">
        <f>G16</f>
        <v>24071.262500000001</v>
      </c>
      <c r="K16" s="8">
        <v>-262.5</v>
      </c>
      <c r="L16" s="8">
        <f>I16+225</f>
        <v>-1918.4562834914755</v>
      </c>
      <c r="M16" s="8">
        <f>D16</f>
        <v>23729.95</v>
      </c>
      <c r="N16" s="8">
        <v>-262.5</v>
      </c>
      <c r="O16" s="8">
        <f>L16</f>
        <v>-1918.4562834914755</v>
      </c>
      <c r="P16" s="7">
        <v>-7</v>
      </c>
      <c r="Q16" s="7">
        <f>P16</f>
        <v>-7</v>
      </c>
      <c r="R16" s="6">
        <v>76792.5</v>
      </c>
      <c r="S16" s="6">
        <f>(0.9*R16)*SQRT(P16^2)</f>
        <v>483792.75</v>
      </c>
      <c r="T16" s="1"/>
    </row>
    <row r="17" spans="1:20" ht="15" x14ac:dyDescent="0.25">
      <c r="A17" s="12"/>
      <c r="B17" s="9">
        <v>14</v>
      </c>
      <c r="C17" s="6">
        <f>S17*0.00283</f>
        <v>1369.1334825000001</v>
      </c>
      <c r="D17" s="8">
        <f>G16</f>
        <v>24071.262500000001</v>
      </c>
      <c r="E17" s="8">
        <v>-262.5</v>
      </c>
      <c r="F17" s="8">
        <f>F16</f>
        <v>-2143.4562834914755</v>
      </c>
      <c r="G17" s="8">
        <f>D17+([1]INPUTS!$G$5-533.4-[1]INPUTS!$G$4)/16</f>
        <v>24412.575000000001</v>
      </c>
      <c r="H17" s="8">
        <v>-262.5</v>
      </c>
      <c r="I17" s="8">
        <f>F17</f>
        <v>-2143.4562834914755</v>
      </c>
      <c r="J17" s="8">
        <f>G17</f>
        <v>24412.575000000001</v>
      </c>
      <c r="K17" s="8">
        <v>-262.5</v>
      </c>
      <c r="L17" s="8">
        <f>I17+225</f>
        <v>-1918.4562834914755</v>
      </c>
      <c r="M17" s="8">
        <f>D17</f>
        <v>24071.262500000001</v>
      </c>
      <c r="N17" s="8">
        <v>-262.5</v>
      </c>
      <c r="O17" s="8">
        <f>L17</f>
        <v>-1918.4562834914755</v>
      </c>
      <c r="P17" s="7">
        <v>-7</v>
      </c>
      <c r="Q17" s="7">
        <f>P17</f>
        <v>-7</v>
      </c>
      <c r="R17" s="6">
        <v>76792.5</v>
      </c>
      <c r="S17" s="6">
        <f>(0.9*R17)*SQRT(P17^2)</f>
        <v>483792.75</v>
      </c>
      <c r="T17" s="1"/>
    </row>
    <row r="18" spans="1:20" ht="15" x14ac:dyDescent="0.25">
      <c r="A18" s="12"/>
      <c r="B18" s="9">
        <v>15</v>
      </c>
      <c r="C18" s="6">
        <f>S18*0.00283</f>
        <v>1369.1334825000001</v>
      </c>
      <c r="D18" s="8">
        <f>G17</f>
        <v>24412.575000000001</v>
      </c>
      <c r="E18" s="8">
        <v>-262.5</v>
      </c>
      <c r="F18" s="8">
        <f>F17</f>
        <v>-2143.4562834914755</v>
      </c>
      <c r="G18" s="8">
        <f>D18+([1]INPUTS!$G$5-533.4-[1]INPUTS!$G$4)/16</f>
        <v>24753.887500000001</v>
      </c>
      <c r="H18" s="8">
        <v>-262.5</v>
      </c>
      <c r="I18" s="8">
        <f>F18</f>
        <v>-2143.4562834914755</v>
      </c>
      <c r="J18" s="8">
        <f>G18</f>
        <v>24753.887500000001</v>
      </c>
      <c r="K18" s="8">
        <v>-262.5</v>
      </c>
      <c r="L18" s="8">
        <f>I18+225</f>
        <v>-1918.4562834914755</v>
      </c>
      <c r="M18" s="8">
        <f>D18</f>
        <v>24412.575000000001</v>
      </c>
      <c r="N18" s="8">
        <v>-262.5</v>
      </c>
      <c r="O18" s="8">
        <f>L18</f>
        <v>-1918.4562834914755</v>
      </c>
      <c r="P18" s="7">
        <v>-7</v>
      </c>
      <c r="Q18" s="7">
        <f>P18</f>
        <v>-7</v>
      </c>
      <c r="R18" s="6">
        <v>76792.5</v>
      </c>
      <c r="S18" s="6">
        <f>(0.9*R18)*SQRT(P18^2)</f>
        <v>483792.75</v>
      </c>
      <c r="T18" s="1"/>
    </row>
    <row r="19" spans="1:20" ht="15" x14ac:dyDescent="0.25">
      <c r="A19" s="10"/>
      <c r="B19" s="9">
        <v>16</v>
      </c>
      <c r="C19" s="6">
        <f>S19*0.00283</f>
        <v>1369.1334825000001</v>
      </c>
      <c r="D19" s="8">
        <f>G18</f>
        <v>24753.887500000001</v>
      </c>
      <c r="E19" s="8">
        <v>-262.5</v>
      </c>
      <c r="F19" s="8">
        <f>F18</f>
        <v>-2143.4562834914755</v>
      </c>
      <c r="G19" s="8">
        <f>D19+([1]INPUTS!$G$5-533.4-[1]INPUTS!$G$4)/16</f>
        <v>25095.200000000001</v>
      </c>
      <c r="H19" s="8">
        <v>-262.5</v>
      </c>
      <c r="I19" s="8">
        <f>F19</f>
        <v>-2143.4562834914755</v>
      </c>
      <c r="J19" s="8">
        <f>G19</f>
        <v>25095.200000000001</v>
      </c>
      <c r="K19" s="8">
        <v>-262.5</v>
      </c>
      <c r="L19" s="8">
        <f>I19+225</f>
        <v>-1918.4562834914755</v>
      </c>
      <c r="M19" s="8">
        <f>D19</f>
        <v>24753.887500000001</v>
      </c>
      <c r="N19" s="8">
        <v>-262.5</v>
      </c>
      <c r="O19" s="8">
        <f>L19</f>
        <v>-1918.4562834914755</v>
      </c>
      <c r="P19" s="7">
        <v>-7</v>
      </c>
      <c r="Q19" s="7">
        <f>P19</f>
        <v>-7</v>
      </c>
      <c r="R19" s="6">
        <v>76792.5</v>
      </c>
      <c r="S19" s="6">
        <f>(0.9*R19)*SQRT(P19^2)</f>
        <v>483792.75</v>
      </c>
      <c r="T19" s="1"/>
    </row>
    <row r="20" spans="1:20" ht="15" x14ac:dyDescent="0.25">
      <c r="A20" s="11" t="s">
        <v>10</v>
      </c>
      <c r="B20" s="9">
        <v>17</v>
      </c>
      <c r="C20" s="6">
        <f>S20*0.00283</f>
        <v>3911.9373000000001</v>
      </c>
      <c r="D20" s="8">
        <f>D10</f>
        <v>21682.075000000001</v>
      </c>
      <c r="E20" s="8">
        <f>E10</f>
        <v>-262.5</v>
      </c>
      <c r="F20" s="8">
        <f>F10+225</f>
        <v>-1918.4562834914755</v>
      </c>
      <c r="G20" s="8">
        <f>D16</f>
        <v>23729.95</v>
      </c>
      <c r="H20" s="8">
        <f>E16</f>
        <v>-262.5</v>
      </c>
      <c r="I20" s="8">
        <f>F16+225</f>
        <v>-1918.4562834914755</v>
      </c>
      <c r="J20" s="8">
        <f>D14</f>
        <v>23047.325000000001</v>
      </c>
      <c r="K20" s="8">
        <f>E14</f>
        <v>-262.5</v>
      </c>
      <c r="L20" s="8">
        <f>I20+200</f>
        <v>-1718.4562834914755</v>
      </c>
      <c r="M20" s="8">
        <f>D11</f>
        <v>22023.387500000001</v>
      </c>
      <c r="N20" s="8">
        <f>E11</f>
        <v>-262.5</v>
      </c>
      <c r="O20" s="8">
        <f>L20</f>
        <v>-1718.4562834914755</v>
      </c>
      <c r="P20" s="7">
        <v>-5</v>
      </c>
      <c r="Q20" s="7">
        <f>P20</f>
        <v>-5</v>
      </c>
      <c r="R20" s="6">
        <v>307180</v>
      </c>
      <c r="S20" s="6">
        <f>(0.9*R20)*SQRT(P20^2)</f>
        <v>1382310</v>
      </c>
      <c r="T20" s="1"/>
    </row>
    <row r="21" spans="1:20" ht="15" x14ac:dyDescent="0.25">
      <c r="A21" s="10"/>
      <c r="B21" s="9">
        <v>18</v>
      </c>
      <c r="C21" s="6">
        <f>S21*0.00283</f>
        <v>160.46100000000001</v>
      </c>
      <c r="D21" s="8">
        <f>D11</f>
        <v>22023.387500000001</v>
      </c>
      <c r="E21" s="8">
        <f>E11-P20</f>
        <v>-257.5</v>
      </c>
      <c r="F21" s="8">
        <f>F11+225+200</f>
        <v>-1718.4562834914755</v>
      </c>
      <c r="G21" s="8">
        <f>D21</f>
        <v>22023.387500000001</v>
      </c>
      <c r="H21" s="8">
        <f>E21</f>
        <v>-257.5</v>
      </c>
      <c r="I21" s="8">
        <f>F21-200</f>
        <v>-1918.4562834914755</v>
      </c>
      <c r="J21" s="8">
        <f>D21</f>
        <v>22023.387500000001</v>
      </c>
      <c r="K21" s="8">
        <v>0</v>
      </c>
      <c r="L21" s="8">
        <f>I21</f>
        <v>-1918.4562834914755</v>
      </c>
      <c r="M21" s="8">
        <f>D21</f>
        <v>22023.387500000001</v>
      </c>
      <c r="N21" s="8">
        <v>0</v>
      </c>
      <c r="O21" s="8">
        <f>F21</f>
        <v>-1718.4562834914755</v>
      </c>
      <c r="P21" s="7">
        <v>-1.2</v>
      </c>
      <c r="Q21" s="7">
        <f>P21</f>
        <v>-1.2</v>
      </c>
      <c r="R21" s="6">
        <v>52500</v>
      </c>
      <c r="S21" s="6">
        <f>(0.9*R21)*SQRT(P21^2)</f>
        <v>56700</v>
      </c>
      <c r="T21" s="1"/>
    </row>
    <row r="22" spans="1:20" ht="1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5.75" customHeight="1" x14ac:dyDescent="0.3">
      <c r="A23" s="1"/>
      <c r="B23" s="5" t="s">
        <v>9</v>
      </c>
      <c r="C23" s="1"/>
      <c r="D23" s="1"/>
      <c r="E23" s="1"/>
      <c r="F23" s="1"/>
      <c r="G23" s="1"/>
      <c r="H23" s="3"/>
      <c r="I23" s="3"/>
      <c r="J23" s="1"/>
      <c r="K23" s="1"/>
      <c r="L23" s="1"/>
      <c r="M23" s="1"/>
      <c r="N23" s="1"/>
      <c r="O23" s="1"/>
      <c r="P23" s="1"/>
      <c r="Q23" s="4"/>
      <c r="R23" s="1"/>
      <c r="S23" s="1"/>
      <c r="T23" s="1"/>
    </row>
    <row r="24" spans="1:20" ht="15" x14ac:dyDescent="0.25">
      <c r="A24" s="1"/>
      <c r="B24" s="1" t="s">
        <v>8</v>
      </c>
      <c r="C24" s="1"/>
      <c r="D24" s="1">
        <v>200</v>
      </c>
      <c r="E24" s="1" t="s">
        <v>6</v>
      </c>
      <c r="F24" s="1"/>
      <c r="G24" s="1"/>
      <c r="H24" s="3"/>
      <c r="I24" s="3"/>
      <c r="J24" s="1"/>
      <c r="K24" s="1"/>
      <c r="L24" s="1"/>
      <c r="M24" s="1"/>
      <c r="N24" s="1"/>
      <c r="O24" s="1"/>
      <c r="P24" s="2"/>
      <c r="Q24" s="4"/>
      <c r="R24" s="1"/>
      <c r="S24" s="1"/>
      <c r="T24" s="1"/>
    </row>
    <row r="25" spans="1:20" ht="15" x14ac:dyDescent="0.25">
      <c r="A25" s="1"/>
      <c r="B25" s="1" t="s">
        <v>7</v>
      </c>
      <c r="C25" s="1"/>
      <c r="D25" s="1">
        <v>100</v>
      </c>
      <c r="E25" s="1" t="s">
        <v>6</v>
      </c>
      <c r="F25" s="1"/>
      <c r="G25" s="1"/>
      <c r="H25" s="3"/>
      <c r="I25" s="3"/>
      <c r="J25" s="1"/>
      <c r="K25" s="1"/>
      <c r="L25" s="1"/>
      <c r="M25" s="1"/>
      <c r="N25" s="1"/>
      <c r="O25" s="1"/>
      <c r="P25" s="2"/>
      <c r="Q25" s="4"/>
      <c r="R25" s="1"/>
      <c r="S25" s="1"/>
      <c r="T25" s="1"/>
    </row>
    <row r="26" spans="1:20" ht="15" x14ac:dyDescent="0.25">
      <c r="A26" s="1"/>
      <c r="B26" s="1" t="s">
        <v>5</v>
      </c>
      <c r="C26" s="3"/>
      <c r="D26" s="3">
        <f>PI()*D24*D25</f>
        <v>62831.853071795864</v>
      </c>
      <c r="E26" s="1"/>
      <c r="F26" s="1"/>
      <c r="G26" s="1"/>
      <c r="H26" s="3"/>
      <c r="I26" s="3"/>
      <c r="J26" s="1"/>
      <c r="K26" s="1"/>
      <c r="L26" s="1"/>
      <c r="M26" s="1"/>
      <c r="N26" s="1"/>
      <c r="O26" s="1"/>
      <c r="P26" s="2"/>
      <c r="Q26" s="4"/>
      <c r="R26" s="1"/>
      <c r="S26" s="1"/>
      <c r="T26" s="1"/>
    </row>
    <row r="27" spans="1:20" ht="15" x14ac:dyDescent="0.25">
      <c r="A27" s="1"/>
      <c r="B27" s="1"/>
      <c r="C27" s="1"/>
      <c r="D27" s="1"/>
      <c r="E27" s="1"/>
      <c r="F27" s="1"/>
      <c r="G27" s="1"/>
      <c r="H27" s="3"/>
      <c r="I27" s="3"/>
      <c r="J27" s="1"/>
      <c r="K27" s="1"/>
      <c r="L27" s="1"/>
      <c r="M27" s="1"/>
      <c r="N27" s="1"/>
      <c r="O27" s="1"/>
      <c r="P27" s="2"/>
      <c r="Q27" s="4"/>
      <c r="R27" s="1"/>
      <c r="S27" s="1"/>
      <c r="T27" s="1"/>
    </row>
    <row r="28" spans="1:20" ht="15" x14ac:dyDescent="0.25">
      <c r="A28" s="1"/>
      <c r="B28" s="1" t="s">
        <v>4</v>
      </c>
      <c r="C28" s="1"/>
      <c r="D28" s="1"/>
      <c r="E28" s="3">
        <f>225*(J4-D4)</f>
        <v>76795.3125</v>
      </c>
      <c r="F28" s="1" t="s">
        <v>3</v>
      </c>
      <c r="G28" s="1"/>
      <c r="H28" s="3"/>
      <c r="I28" s="3"/>
      <c r="J28" s="1"/>
      <c r="K28" s="1"/>
      <c r="L28" s="1"/>
      <c r="M28" s="1"/>
      <c r="N28" s="1"/>
      <c r="O28" s="1"/>
      <c r="P28" s="2"/>
      <c r="Q28" s="4"/>
      <c r="R28" s="1"/>
      <c r="S28" s="1"/>
      <c r="T28" s="1"/>
    </row>
    <row r="29" spans="1:20" ht="15" x14ac:dyDescent="0.25">
      <c r="A29" s="1"/>
      <c r="B29" s="1"/>
      <c r="C29" s="1"/>
      <c r="D29" s="1"/>
      <c r="E29" s="1"/>
      <c r="F29" s="1"/>
      <c r="G29" s="1"/>
      <c r="H29" s="3"/>
      <c r="I29" s="3"/>
      <c r="J29" s="1"/>
      <c r="K29" s="1"/>
      <c r="L29" s="1"/>
      <c r="M29" s="1"/>
      <c r="N29" s="1"/>
      <c r="O29" s="1"/>
      <c r="P29" s="2"/>
      <c r="Q29" s="4"/>
      <c r="R29" s="1"/>
      <c r="S29" s="1"/>
      <c r="T29" s="1"/>
    </row>
    <row r="30" spans="1:20" ht="15" x14ac:dyDescent="0.25">
      <c r="A30" s="1"/>
      <c r="B30" s="1" t="s">
        <v>2</v>
      </c>
      <c r="C30" s="1"/>
      <c r="D30" s="1"/>
      <c r="E30" s="2">
        <f>(1-D26/E28)*100</f>
        <v>18.182697580928696</v>
      </c>
      <c r="F30" s="1" t="s">
        <v>1</v>
      </c>
      <c r="G30" s="1"/>
      <c r="H30" s="3"/>
      <c r="I30" s="3"/>
      <c r="J30" s="1"/>
      <c r="K30" s="1"/>
      <c r="L30" s="1"/>
      <c r="M30" s="1"/>
      <c r="N30" s="1"/>
      <c r="O30" s="1"/>
      <c r="P30" s="2"/>
      <c r="Q30" s="4"/>
      <c r="R30" s="1"/>
      <c r="S30" s="1"/>
      <c r="T30" s="1"/>
    </row>
    <row r="31" spans="1:20" ht="15" x14ac:dyDescent="0.25">
      <c r="A31" s="1"/>
      <c r="B31" s="1"/>
      <c r="C31" s="1"/>
      <c r="D31" s="1"/>
      <c r="E31" s="1"/>
      <c r="F31" s="1"/>
      <c r="G31" s="1"/>
      <c r="H31" s="3"/>
      <c r="I31" s="3"/>
      <c r="J31" s="1"/>
      <c r="K31" s="1"/>
      <c r="L31" s="1"/>
      <c r="M31" s="1"/>
      <c r="N31" s="1"/>
      <c r="O31" s="1"/>
      <c r="P31" s="2"/>
      <c r="Q31" s="4"/>
      <c r="R31" s="1"/>
      <c r="S31" s="1"/>
      <c r="T31" s="1"/>
    </row>
    <row r="32" spans="1:20" ht="15" x14ac:dyDescent="0.25">
      <c r="A32" s="1"/>
      <c r="B32" s="1" t="s">
        <v>0</v>
      </c>
      <c r="C32" s="1"/>
      <c r="D32" s="1"/>
      <c r="E32" s="1"/>
      <c r="F32" s="1"/>
      <c r="G32" s="1"/>
      <c r="H32" s="3"/>
      <c r="I32" s="3"/>
      <c r="J32" s="1"/>
      <c r="K32" s="1"/>
      <c r="L32" s="1"/>
      <c r="M32" s="1"/>
      <c r="N32" s="1"/>
      <c r="O32" s="1"/>
      <c r="P32" s="2"/>
      <c r="Q32" s="4"/>
      <c r="R32" s="1"/>
      <c r="S32" s="1"/>
      <c r="T32" s="1"/>
    </row>
    <row r="33" spans="1:20" ht="15" x14ac:dyDescent="0.25">
      <c r="A33" s="1"/>
      <c r="B33" s="1"/>
      <c r="C33" s="1"/>
      <c r="D33" s="1"/>
      <c r="E33" s="1"/>
      <c r="F33" s="1"/>
      <c r="G33" s="1"/>
      <c r="H33" s="3"/>
      <c r="I33" s="3"/>
      <c r="J33" s="1"/>
      <c r="K33" s="1"/>
      <c r="L33" s="1"/>
      <c r="M33" s="1"/>
      <c r="N33" s="1"/>
      <c r="O33" s="1"/>
      <c r="P33" s="2"/>
      <c r="Q33" s="4"/>
      <c r="R33" s="1"/>
      <c r="S33" s="1"/>
      <c r="T33" s="1"/>
    </row>
    <row r="34" spans="1:20" ht="15" x14ac:dyDescent="0.25">
      <c r="A34" s="1"/>
      <c r="B34" s="1"/>
      <c r="C34" s="1"/>
      <c r="D34" s="1"/>
      <c r="E34" s="1"/>
      <c r="F34" s="1"/>
      <c r="G34" s="1"/>
      <c r="H34" s="3"/>
      <c r="I34" s="3"/>
      <c r="J34" s="1"/>
      <c r="K34" s="1"/>
      <c r="L34" s="1"/>
      <c r="M34" s="1"/>
      <c r="N34" s="1"/>
      <c r="O34" s="1"/>
      <c r="P34" s="2"/>
      <c r="Q34" s="4"/>
      <c r="R34" s="1"/>
      <c r="S34" s="1"/>
      <c r="T34" s="1"/>
    </row>
    <row r="35" spans="1:20" ht="15" x14ac:dyDescent="0.25">
      <c r="A35" s="1"/>
      <c r="B35" s="1"/>
      <c r="C35" s="1"/>
      <c r="D35" s="1"/>
      <c r="E35" s="1"/>
      <c r="F35" s="1"/>
      <c r="G35" s="1"/>
      <c r="H35" s="3"/>
      <c r="I35" s="3"/>
      <c r="J35" s="1"/>
      <c r="K35" s="1"/>
      <c r="L35" s="1"/>
      <c r="M35" s="1"/>
      <c r="N35" s="1"/>
      <c r="O35" s="1"/>
      <c r="P35" s="2"/>
      <c r="Q35" s="4"/>
      <c r="R35" s="1"/>
      <c r="S35" s="1"/>
      <c r="T35" s="1"/>
    </row>
    <row r="36" spans="1:20" ht="15" x14ac:dyDescent="0.25">
      <c r="A36" s="1"/>
      <c r="B36" s="1"/>
      <c r="C36" s="1"/>
      <c r="D36" s="1"/>
      <c r="E36" s="1"/>
      <c r="F36" s="1"/>
      <c r="G36" s="1"/>
      <c r="H36" s="3"/>
      <c r="I36" s="3"/>
      <c r="J36" s="1"/>
      <c r="K36" s="1"/>
      <c r="L36" s="1"/>
      <c r="M36" s="1"/>
      <c r="N36" s="1"/>
      <c r="O36" s="1"/>
      <c r="P36" s="2"/>
      <c r="Q36" s="4"/>
      <c r="R36" s="1"/>
      <c r="S36" s="1"/>
      <c r="T36" s="1"/>
    </row>
    <row r="37" spans="1:20" ht="15" x14ac:dyDescent="0.25">
      <c r="A37" s="1"/>
      <c r="B37" s="1"/>
      <c r="C37" s="1"/>
      <c r="D37" s="1"/>
      <c r="E37" s="1"/>
      <c r="F37" s="1"/>
      <c r="G37" s="1"/>
      <c r="H37" s="3"/>
      <c r="I37" s="3"/>
      <c r="J37" s="1"/>
      <c r="K37" s="1"/>
      <c r="L37" s="1"/>
      <c r="M37" s="1"/>
      <c r="N37" s="1"/>
      <c r="O37" s="1"/>
      <c r="P37" s="2"/>
      <c r="Q37" s="4"/>
      <c r="R37" s="1"/>
      <c r="S37" s="1"/>
      <c r="T37" s="1"/>
    </row>
    <row r="38" spans="1:20" ht="15" x14ac:dyDescent="0.25">
      <c r="A38" s="1"/>
      <c r="B38" s="1"/>
      <c r="C38" s="1"/>
      <c r="D38" s="1"/>
      <c r="E38" s="1"/>
      <c r="F38" s="1"/>
      <c r="G38" s="1"/>
      <c r="H38" s="3"/>
      <c r="I38" s="3"/>
      <c r="J38" s="1"/>
      <c r="K38" s="1"/>
      <c r="L38" s="1"/>
      <c r="M38" s="1"/>
      <c r="N38" s="1"/>
      <c r="O38" s="1"/>
      <c r="P38" s="2"/>
      <c r="Q38" s="4"/>
      <c r="R38" s="1"/>
      <c r="S38" s="1"/>
      <c r="T38" s="1"/>
    </row>
    <row r="39" spans="1:20" ht="15" x14ac:dyDescent="0.25">
      <c r="A39" s="1"/>
      <c r="B39" s="1"/>
      <c r="C39" s="1"/>
      <c r="D39" s="1"/>
      <c r="E39" s="1"/>
      <c r="F39" s="1"/>
      <c r="G39" s="1"/>
      <c r="H39" s="3"/>
      <c r="I39" s="3"/>
      <c r="J39" s="1"/>
      <c r="K39" s="1"/>
      <c r="L39" s="1"/>
      <c r="M39" s="1"/>
      <c r="N39" s="1"/>
      <c r="O39" s="1"/>
      <c r="P39" s="2"/>
      <c r="Q39" s="4"/>
      <c r="R39" s="1"/>
      <c r="S39" s="1"/>
      <c r="T39" s="1"/>
    </row>
    <row r="40" spans="1:20" ht="15" x14ac:dyDescent="0.25">
      <c r="A40" s="1"/>
      <c r="B40" s="1"/>
      <c r="C40" s="1"/>
      <c r="D40" s="1"/>
      <c r="E40" s="1"/>
      <c r="F40" s="1"/>
      <c r="G40" s="1"/>
      <c r="H40" s="3"/>
      <c r="I40" s="3"/>
      <c r="J40" s="1"/>
      <c r="K40" s="1"/>
      <c r="L40" s="1"/>
      <c r="M40" s="1"/>
      <c r="N40" s="1"/>
      <c r="O40" s="1"/>
      <c r="P40" s="2"/>
      <c r="Q40" s="4"/>
      <c r="R40" s="1"/>
      <c r="S40" s="1"/>
      <c r="T40" s="1"/>
    </row>
    <row r="41" spans="1:20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3"/>
      <c r="M56" s="1"/>
      <c r="N56" s="1"/>
      <c r="O56" s="1"/>
      <c r="P56" s="1"/>
      <c r="Q56" s="1"/>
      <c r="R56" s="1"/>
      <c r="S56" s="1"/>
      <c r="T56" s="1"/>
    </row>
    <row r="57" spans="1:20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3"/>
      <c r="M57" s="1"/>
      <c r="N57" s="1"/>
      <c r="O57" s="1"/>
      <c r="P57" s="1"/>
      <c r="Q57" s="1"/>
      <c r="R57" s="1"/>
      <c r="S57" s="1"/>
      <c r="T57" s="1"/>
    </row>
    <row r="58" spans="1:20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3"/>
      <c r="M58" s="1"/>
      <c r="N58" s="1"/>
      <c r="O58" s="1"/>
      <c r="P58" s="1"/>
      <c r="Q58" s="1"/>
      <c r="R58" s="1"/>
      <c r="S58" s="1"/>
      <c r="T58" s="1"/>
    </row>
    <row r="59" spans="1:20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3"/>
      <c r="M59" s="1"/>
      <c r="N59" s="1"/>
      <c r="O59" s="1"/>
      <c r="P59" s="1"/>
      <c r="Q59" s="1"/>
      <c r="R59" s="1"/>
      <c r="S59" s="1"/>
      <c r="T59" s="1"/>
    </row>
    <row r="60" spans="1:20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3"/>
      <c r="M60" s="1"/>
      <c r="N60" s="1"/>
      <c r="O60" s="1"/>
      <c r="P60" s="1"/>
      <c r="Q60" s="1"/>
      <c r="R60" s="1"/>
      <c r="S60" s="1"/>
      <c r="T60" s="1"/>
    </row>
    <row r="61" spans="1:20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3"/>
      <c r="M61" s="1"/>
      <c r="N61" s="1"/>
      <c r="O61" s="1"/>
      <c r="P61" s="1"/>
      <c r="Q61" s="1"/>
      <c r="R61" s="1"/>
      <c r="S61" s="1"/>
      <c r="T61" s="1"/>
    </row>
    <row r="62" spans="1:20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3"/>
      <c r="M62" s="1"/>
      <c r="N62" s="1"/>
      <c r="O62" s="1"/>
      <c r="P62" s="1"/>
      <c r="Q62" s="1"/>
      <c r="R62" s="1"/>
      <c r="S62" s="1"/>
      <c r="T62" s="1"/>
    </row>
    <row r="63" spans="1:20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3"/>
      <c r="M63" s="1"/>
      <c r="N63" s="1"/>
      <c r="O63" s="1"/>
      <c r="P63" s="1"/>
      <c r="Q63" s="1"/>
      <c r="R63" s="1"/>
      <c r="S63" s="1"/>
      <c r="T63" s="1"/>
    </row>
    <row r="64" spans="1:20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3"/>
      <c r="M64" s="1"/>
      <c r="N64" s="1"/>
      <c r="O64" s="1"/>
      <c r="P64" s="1"/>
      <c r="Q64" s="1"/>
      <c r="R64" s="1"/>
      <c r="S64" s="1"/>
      <c r="T64" s="1"/>
    </row>
    <row r="65" spans="1:20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3"/>
      <c r="M65" s="1"/>
      <c r="N65" s="1"/>
      <c r="O65" s="1"/>
      <c r="P65" s="1"/>
      <c r="Q65" s="1"/>
      <c r="R65" s="1"/>
      <c r="S65" s="1"/>
      <c r="T65" s="1"/>
    </row>
    <row r="66" spans="1:20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3"/>
      <c r="M66" s="1"/>
      <c r="N66" s="1"/>
      <c r="O66" s="1"/>
      <c r="P66" s="1"/>
      <c r="Q66" s="1"/>
      <c r="R66" s="1"/>
      <c r="S66" s="1"/>
      <c r="T66" s="1"/>
    </row>
    <row r="67" spans="1:20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3"/>
      <c r="M67" s="1"/>
      <c r="N67" s="1"/>
      <c r="O67" s="1"/>
      <c r="P67" s="1"/>
      <c r="Q67" s="1"/>
      <c r="R67" s="1"/>
      <c r="S67" s="1"/>
      <c r="T67" s="1"/>
    </row>
    <row r="68" spans="1:20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3"/>
      <c r="M68" s="1"/>
      <c r="N68" s="1"/>
      <c r="O68" s="1"/>
      <c r="P68" s="1"/>
      <c r="Q68" s="1"/>
      <c r="R68" s="1"/>
      <c r="S68" s="1"/>
      <c r="T68" s="1"/>
    </row>
    <row r="69" spans="1:20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3"/>
      <c r="M69" s="1"/>
      <c r="N69" s="1"/>
      <c r="O69" s="1"/>
      <c r="P69" s="1"/>
      <c r="Q69" s="1"/>
      <c r="R69" s="1"/>
      <c r="S69" s="1"/>
      <c r="T69" s="1"/>
    </row>
    <row r="70" spans="1:20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3"/>
      <c r="M70" s="1"/>
      <c r="N70" s="1"/>
      <c r="O70" s="1"/>
      <c r="P70" s="1"/>
      <c r="Q70" s="1"/>
      <c r="R70" s="1"/>
      <c r="S70" s="1"/>
      <c r="T70" s="1"/>
    </row>
    <row r="71" spans="1:20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3"/>
      <c r="M71" s="1"/>
      <c r="N71" s="1"/>
      <c r="O71" s="1"/>
      <c r="P71" s="1"/>
      <c r="Q71" s="1"/>
      <c r="R71" s="1"/>
      <c r="S71" s="1"/>
      <c r="T71" s="1"/>
    </row>
    <row r="72" spans="1:20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5" x14ac:dyDescent="0.25">
      <c r="A94" s="1"/>
      <c r="B94" s="1"/>
      <c r="C94" s="1"/>
      <c r="D94" s="1"/>
      <c r="E94" s="1"/>
      <c r="F94" s="1"/>
      <c r="G94" s="1"/>
      <c r="H94" s="1"/>
      <c r="I94" s="1"/>
      <c r="J94" s="2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5" x14ac:dyDescent="0.25">
      <c r="A95" s="1"/>
      <c r="B95" s="1"/>
      <c r="C95" s="1"/>
      <c r="D95" s="1"/>
      <c r="E95" s="1"/>
      <c r="F95" s="1"/>
      <c r="G95" s="1"/>
      <c r="H95" s="1"/>
      <c r="I95" s="1"/>
      <c r="J95" s="2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1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1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1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1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1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1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1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1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1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1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1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1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1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1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1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1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1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1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1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1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1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1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1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1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1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1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1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1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1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1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1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1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1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1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1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1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1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1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1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1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1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1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1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1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1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1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ht="1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ht="1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ht="1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ht="1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ht="1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ht="1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ht="1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ht="1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ht="1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ht="1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ht="1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ht="1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ht="1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ht="1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ht="1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ht="1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ht="1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ht="1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ht="1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ht="1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ht="1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</sheetData>
  <mergeCells count="3">
    <mergeCell ref="G1:J1"/>
    <mergeCell ref="A4:A19"/>
    <mergeCell ref="A20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SIDE_PANELS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verma</dc:creator>
  <cp:lastModifiedBy>aman verma</cp:lastModifiedBy>
  <dcterms:created xsi:type="dcterms:W3CDTF">2026-03-17T16:04:12Z</dcterms:created>
  <dcterms:modified xsi:type="dcterms:W3CDTF">2026-03-17T16:04:31Z</dcterms:modified>
</cp:coreProperties>
</file>