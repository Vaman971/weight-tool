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OMEN\Aman Dropbox\Aman verma\My PC (LAPTOP-UK6RT4E8)\Downloads\"/>
    </mc:Choice>
  </mc:AlternateContent>
  <xr:revisionPtr revIDLastSave="0" documentId="8_{7B896DB8-B943-446E-B8D6-37A75C0F8545}" xr6:coauthVersionLast="47" xr6:coauthVersionMax="47" xr10:uidLastSave="{00000000-0000-0000-0000-000000000000}"/>
  <bookViews>
    <workbookView xWindow="-108" yWindow="-108" windowWidth="23256" windowHeight="12456" xr2:uid="{D8DDF742-2122-49D7-AE01-763F9A4F5771}"/>
  </bookViews>
  <sheets>
    <sheet name="GEOMETRY_PROCESSING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1" l="1"/>
  <c r="C8" i="1"/>
  <c r="C12" i="1"/>
  <c r="C14" i="1"/>
  <c r="C18" i="1"/>
  <c r="C20" i="1"/>
  <c r="C24" i="1"/>
  <c r="C26" i="1"/>
  <c r="C30" i="1"/>
  <c r="C32" i="1"/>
  <c r="C36" i="1"/>
  <c r="C38" i="1"/>
  <c r="C42" i="1"/>
  <c r="C44" i="1"/>
  <c r="C48" i="1"/>
  <c r="C50" i="1"/>
  <c r="C54" i="1"/>
  <c r="C56" i="1"/>
  <c r="C60" i="1"/>
  <c r="C62" i="1"/>
  <c r="C66" i="1"/>
  <c r="C68" i="1"/>
  <c r="C72" i="1"/>
  <c r="C74" i="1"/>
</calcChain>
</file>

<file path=xl/sharedStrings.xml><?xml version="1.0" encoding="utf-8"?>
<sst xmlns="http://schemas.openxmlformats.org/spreadsheetml/2006/main" count="76" uniqueCount="27">
  <si>
    <t>mm</t>
  </si>
  <si>
    <t xml:space="preserve">Z = </t>
  </si>
  <si>
    <t xml:space="preserve">Y = </t>
  </si>
  <si>
    <t>Derive Z-Coordinate of FUSELAGE_OML at BTM_STRINGER_2_DATUM</t>
  </si>
  <si>
    <t>Derive Z-Coordinate of FUSELAGE_OML at BTM_STRINGER_1_DATUM</t>
  </si>
  <si>
    <t>(Used in BTM_PANEL tab)</t>
  </si>
  <si>
    <t>(OML OFFSET 30.0 / 2 = 15.0deg from VERTICAL)</t>
  </si>
  <si>
    <t>Derive Z-Coordinate of FUSELAGE_OML at P5 of AFT_BOTTOM_PANEL_SECTION_3</t>
  </si>
  <si>
    <t>(OML OFFSET 30.0deg from VERTICAL)</t>
  </si>
  <si>
    <t>Derive Z-Coordinate of FUSELAGE_OML at P6 of AFT_BOTTOM_PANEL_SECTION_3</t>
  </si>
  <si>
    <t>(OML OFFSET  16.0 / 2 = 8.0deg from VERTICAL)</t>
  </si>
  <si>
    <t>Derive Z-Coordinate of FUSELAGE_OML at P5 of AFT_BOTTOM_PANEL_SECTION_2</t>
  </si>
  <si>
    <t>(OML OFFSET 16.0deg from VERTICAL)</t>
  </si>
  <si>
    <t>Derive Z-Coordinate of FUSELAGE_OML at P6 of AFT_BOTTOM_PANEL_SECTION_2</t>
  </si>
  <si>
    <t>(OML OFFSET  12.0 / 2 = 6.0deg from VERTICAL)</t>
  </si>
  <si>
    <t>Derive Z-Coordinate of FUSELAGE_OML at P5 of AFT_BOTTOM_PANEL_SECTION_1</t>
  </si>
  <si>
    <t>(OML OFFSET 12.0deg from VERTICAL)</t>
  </si>
  <si>
    <t>Derive Z-Coordinate of FUSELAGE_OML at P6 of AFT_BOTTOM_PANEL_SECTION_1</t>
  </si>
  <si>
    <t>(OML OFFSET 9.0 / 2 = 4.5deg from VERTICAL)</t>
  </si>
  <si>
    <t>Derive Z-Coordinate of FUSELAGE_OML at P5 of FWD_BOTTOM_PANEL</t>
  </si>
  <si>
    <t>(OML OFFSET 9.0deg from VERTICAL)</t>
  </si>
  <si>
    <t>Derive Z-Coordinate of FUSELAGE_OML at P6 of FWD_BOTTOM_PANEL</t>
  </si>
  <si>
    <t>(OML OFFSET 27.0 / 2 = 13.5 deg from VERTICAL)</t>
  </si>
  <si>
    <t>Derive Z-Coordinate of FUSELAGE_OML at P2 of FWD_BOTTOM_PANEL</t>
  </si>
  <si>
    <t>(OML OFFSET 27.0deg from VERTICAL)</t>
  </si>
  <si>
    <t>Derive Z-Coordinate of FUSELAGE_OML at P3 of FWD_BOTTOM_PANEL</t>
  </si>
  <si>
    <t>DEFINE GEOMETRY POINTS FOR EDGES OF BOTTOM_PANEL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</si>
</sst>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4" x14ac:knownFonts="1">
    <font>
      <sz val="10"/>
      <color rgb="FF000000"/>
      <name val="Arial"/>
      <scheme val="minor"/>
    </font>
    <font>
      <sz val="10"/>
      <color rgb="FF000000"/>
      <name val="Arial"/>
      <scheme val="minor"/>
    </font>
    <font>
      <sz val="12"/>
      <color rgb="FF000000"/>
      <name val="Arial"/>
      <scheme val="minor"/>
    </font>
    <font>
      <b/>
      <sz val="12"/>
      <color rgb="FF000000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164" fontId="3" fillId="2" borderId="1" xfId="0" applyNumberFormat="1" applyFont="1" applyFill="1" applyBorder="1" applyAlignment="1">
      <alignment horizontal="center"/>
    </xf>
    <xf numFmtId="164" fontId="2" fillId="0" borderId="0" xfId="0" applyNumberFormat="1" applyFont="1"/>
    <xf numFmtId="165" fontId="2" fillId="0" borderId="0" xfId="0" applyNumberFormat="1" applyFont="1"/>
    <xf numFmtId="1" fontId="2" fillId="0" borderId="0" xfId="0" applyNumberFormat="1" applyFont="1"/>
    <xf numFmtId="0" fontId="1" fillId="0" borderId="0" xfId="0" applyFont="1"/>
    <xf numFmtId="1" fontId="3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MEN\Aman%20Dropbox\Aman%20verma\My%20PC%20(LAPTOP-UK6RT4E8)\Downloads\INPUTS.xlsx" TargetMode="External"/><Relationship Id="rId1" Type="http://schemas.openxmlformats.org/officeDocument/2006/relationships/externalLinkPath" Target="INPU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PUTS"/>
    </sheetNames>
    <sheetDataSet>
      <sheetData sheetId="0">
        <row r="6">
          <cell r="G6">
            <v>-240</v>
          </cell>
        </row>
        <row r="7">
          <cell r="G7">
            <v>-2166</v>
          </cell>
        </row>
      </sheetData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AC798-307E-4E59-BF28-E366A33538AB}">
  <sheetPr>
    <outlinePr summaryBelow="0" summaryRight="0"/>
  </sheetPr>
  <dimension ref="A1:X944"/>
  <sheetViews>
    <sheetView tabSelected="1" workbookViewId="0">
      <selection activeCell="D18" sqref="D18"/>
    </sheetView>
  </sheetViews>
  <sheetFormatPr defaultColWidth="12.6640625" defaultRowHeight="15.75" customHeight="1" x14ac:dyDescent="0.25"/>
  <cols>
    <col min="3" max="3" width="39.21875" customWidth="1"/>
    <col min="6" max="6" width="14" customWidth="1"/>
    <col min="7" max="7" width="13.21875" customWidth="1"/>
  </cols>
  <sheetData>
    <row r="1" spans="1:24" ht="15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15.75" customHeight="1" x14ac:dyDescent="0.3">
      <c r="A2" s="1"/>
      <c r="B2" s="9" t="s">
        <v>26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15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15" x14ac:dyDescent="0.25">
      <c r="A4" s="1"/>
      <c r="B4" s="1" t="s">
        <v>25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ht="15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ht="15.75" customHeight="1" x14ac:dyDescent="0.3">
      <c r="A6" s="1"/>
      <c r="B6" s="1" t="s">
        <v>2</v>
      </c>
      <c r="C6" s="2">
        <f>SIN((27.1/360)*2*PI())*([1]INPUTS!$G$7-[1]INPUTS!$G$6)</f>
        <v>-877.37949133175096</v>
      </c>
      <c r="D6" s="1" t="s">
        <v>0</v>
      </c>
      <c r="E6" s="1" t="s">
        <v>24</v>
      </c>
      <c r="F6" s="1"/>
      <c r="G6" s="3"/>
      <c r="H6" s="8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ht="15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 ht="15.75" customHeight="1" x14ac:dyDescent="0.3">
      <c r="A8" s="1"/>
      <c r="B8" s="1" t="s">
        <v>1</v>
      </c>
      <c r="C8" s="2">
        <f>(COS((27.1/360)*2*PI())*([1]INPUTS!$G$7-[1]INPUTS!$G$6))+[1]INPUTS!$G$6</f>
        <v>-1954.5498616810296</v>
      </c>
      <c r="D8" s="1" t="s">
        <v>0</v>
      </c>
      <c r="E8" s="1"/>
      <c r="F8" s="1"/>
      <c r="G8" s="3"/>
      <c r="H8" s="7"/>
      <c r="I8" s="3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spans="1:24" ht="15" x14ac:dyDescent="0.25">
      <c r="A9" s="1"/>
      <c r="B9" s="1"/>
      <c r="C9" s="1"/>
      <c r="D9" s="1"/>
      <c r="E9" s="1"/>
      <c r="F9" s="1"/>
      <c r="G9" s="1"/>
      <c r="H9" s="6"/>
      <c r="I9" s="6"/>
      <c r="J9" s="6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ht="15" x14ac:dyDescent="0.25">
      <c r="A10" s="1"/>
      <c r="B10" s="1" t="s">
        <v>23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 ht="15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ht="15.75" customHeight="1" x14ac:dyDescent="0.3">
      <c r="A12" s="1"/>
      <c r="B12" s="1" t="s">
        <v>2</v>
      </c>
      <c r="C12" s="2">
        <f>SIN((13.5/360)*2*PI())*([1]INPUTS!$G$7-[1]INPUTS!$G$6)</f>
        <v>-449.61577078647377</v>
      </c>
      <c r="D12" s="1" t="s">
        <v>0</v>
      </c>
      <c r="E12" s="1" t="s">
        <v>22</v>
      </c>
      <c r="F12" s="1"/>
      <c r="G12" s="3"/>
      <c r="H12" s="1"/>
      <c r="I12" s="5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spans="1:24" ht="15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1:24" ht="15.75" customHeight="1" x14ac:dyDescent="0.3">
      <c r="A14" s="1"/>
      <c r="B14" s="1" t="s">
        <v>1</v>
      </c>
      <c r="C14" s="2">
        <f>COS((13.5/360)*2*PI())*([1]INPUTS!$G$7-[1]INPUTS!$G$6)+[1]INPUTS!$G$6</f>
        <v>-2112.7844666859251</v>
      </c>
      <c r="D14" s="1" t="s">
        <v>0</v>
      </c>
      <c r="E14" s="1"/>
      <c r="F14" s="1"/>
      <c r="G14" s="3"/>
      <c r="H14" s="3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1:24" ht="15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1:24" ht="15" x14ac:dyDescent="0.25">
      <c r="A16" s="1"/>
      <c r="B16" s="1" t="s">
        <v>21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1:24" ht="15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spans="1:24" ht="15.75" customHeight="1" x14ac:dyDescent="0.3">
      <c r="A18" s="1"/>
      <c r="B18" s="1" t="s">
        <v>2</v>
      </c>
      <c r="C18" s="2">
        <f>SIN((9/360)*2*PI())*([1]INPUTS!$G$7-[1]INPUTS!$G$6)</f>
        <v>-301.29277966748464</v>
      </c>
      <c r="D18" s="1" t="s">
        <v>0</v>
      </c>
      <c r="E18" s="1" t="s">
        <v>20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spans="1:24" ht="15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spans="1:24" ht="15.75" customHeight="1" x14ac:dyDescent="0.3">
      <c r="A20" s="1"/>
      <c r="B20" s="1" t="s">
        <v>1</v>
      </c>
      <c r="C20" s="2">
        <f>COS((9/360)*2*PI())*([1]INPUTS!$G$7-[1]INPUTS!$G$6)+[1]INPUTS!$G$6</f>
        <v>-2142.2877439862355</v>
      </c>
      <c r="D20" s="1" t="s">
        <v>0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spans="1:24" ht="15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spans="1:24" ht="15" x14ac:dyDescent="0.25">
      <c r="A22" s="1"/>
      <c r="B22" s="1" t="s">
        <v>19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spans="1:24" ht="15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spans="1:24" ht="15.75" customHeight="1" x14ac:dyDescent="0.3">
      <c r="A24" s="1"/>
      <c r="B24" s="1" t="s">
        <v>2</v>
      </c>
      <c r="C24" s="2">
        <f>SIN((4.5/360)*2*PI())*([1]INPUTS!$G$7-[1]INPUTS!$G$6)</f>
        <v>-151.11221837182936</v>
      </c>
      <c r="D24" s="1" t="s">
        <v>0</v>
      </c>
      <c r="E24" s="1" t="s">
        <v>18</v>
      </c>
      <c r="F24" s="1"/>
      <c r="G24" s="1"/>
      <c r="H24" s="1"/>
      <c r="I24" s="1"/>
      <c r="J24" s="4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spans="1:24" ht="15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spans="1:24" ht="15.75" customHeight="1" x14ac:dyDescent="0.3">
      <c r="A26" s="1"/>
      <c r="B26" s="1" t="s">
        <v>1</v>
      </c>
      <c r="C26" s="2">
        <f>COS((4.5/360)*2*PI())*([1]INPUTS!$G$7-[1]INPUTS!$G$6)+[1]INPUTS!$G$6</f>
        <v>-2160.0627847700043</v>
      </c>
      <c r="D26" s="1" t="s">
        <v>0</v>
      </c>
      <c r="E26" s="1"/>
      <c r="F26" s="1"/>
      <c r="G26" s="1"/>
      <c r="H26" s="1"/>
      <c r="I26" s="3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1:24" ht="15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spans="1:24" ht="15" x14ac:dyDescent="0.25">
      <c r="A28" s="1"/>
      <c r="B28" s="1" t="s">
        <v>17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1:24" ht="15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spans="1:24" ht="15.6" x14ac:dyDescent="0.3">
      <c r="A30" s="1"/>
      <c r="B30" s="1" t="s">
        <v>2</v>
      </c>
      <c r="C30" s="2">
        <f>SIN((12/360)*2*PI())*([1]INPUTS!$G$7-[1]INPUTS!$G$6)</f>
        <v>-400.43791651500442</v>
      </c>
      <c r="D30" s="1" t="s">
        <v>0</v>
      </c>
      <c r="E30" s="1" t="s">
        <v>16</v>
      </c>
      <c r="F30" s="1"/>
      <c r="G30" s="1"/>
      <c r="H30" s="1"/>
      <c r="I30" s="3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spans="1:24" ht="15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spans="1:24" ht="15.6" x14ac:dyDescent="0.3">
      <c r="A32" s="1"/>
      <c r="B32" s="1" t="s">
        <v>1</v>
      </c>
      <c r="C32" s="2">
        <f>COS((12/360)*2*PI())*([1]INPUTS!$G$7-[1]INPUTS!$G$6)+[1]INPUTS!$G$6</f>
        <v>-2123.9122790133097</v>
      </c>
      <c r="D32" s="1" t="s">
        <v>0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1:24" ht="15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 ht="15" x14ac:dyDescent="0.25">
      <c r="A34" s="1"/>
      <c r="B34" s="1" t="s">
        <v>15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1:24" ht="15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1:24" ht="15.6" x14ac:dyDescent="0.3">
      <c r="A36" s="1"/>
      <c r="B36" s="1" t="s">
        <v>2</v>
      </c>
      <c r="C36" s="2">
        <f>SIN((6/360)*2*PI())*([1]INPUTS!$G$7-[1]INPUTS!$G$6)</f>
        <v>-201.32182025350056</v>
      </c>
      <c r="D36" s="1" t="s">
        <v>0</v>
      </c>
      <c r="E36" s="1" t="s">
        <v>14</v>
      </c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4" ht="15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 ht="15.6" x14ac:dyDescent="0.3">
      <c r="A38" s="1"/>
      <c r="B38" s="1" t="s">
        <v>1</v>
      </c>
      <c r="C38" s="2">
        <f>COS((6/360)*2*PI())*([1]INPUTS!$G$7-[1]INPUTS!$G$6)+[1]INPUTS!$G$6</f>
        <v>-2155.4491704792945</v>
      </c>
      <c r="D38" s="1" t="s">
        <v>0</v>
      </c>
      <c r="E38" s="1" t="s">
        <v>5</v>
      </c>
      <c r="F38" s="1"/>
      <c r="G38" s="1"/>
      <c r="H38" s="3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4" ht="1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4" ht="15" x14ac:dyDescent="0.25">
      <c r="A40" s="1"/>
      <c r="B40" s="1" t="s">
        <v>13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4" ht="1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 ht="15.6" x14ac:dyDescent="0.3">
      <c r="A42" s="1"/>
      <c r="B42" s="1" t="s">
        <v>2</v>
      </c>
      <c r="C42" s="2">
        <f>SIN((16/360)*2*PI())*([1]INPUTS!$G$7-[1]INPUTS!$G$6)</f>
        <v>-530.87754730354038</v>
      </c>
      <c r="D42" s="1" t="s">
        <v>0</v>
      </c>
      <c r="E42" s="1" t="s">
        <v>12</v>
      </c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 ht="1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 ht="15.6" x14ac:dyDescent="0.3">
      <c r="A44" s="1"/>
      <c r="B44" s="1" t="s">
        <v>1</v>
      </c>
      <c r="C44" s="2">
        <f>COS((16/360)*2*PI())*([1]INPUTS!$G$7-[1]INPUTS!$G$6)+[1]INPUTS!$G$6</f>
        <v>-2091.390026377202</v>
      </c>
      <c r="D44" s="1" t="s">
        <v>0</v>
      </c>
      <c r="E44" s="1" t="s">
        <v>5</v>
      </c>
      <c r="F44" s="1"/>
      <c r="G44" s="1"/>
      <c r="H44" s="1"/>
      <c r="I44" s="3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ht="1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ht="15" x14ac:dyDescent="0.25">
      <c r="A46" s="1"/>
      <c r="B46" s="1" t="s">
        <v>11</v>
      </c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ht="1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 ht="15.6" x14ac:dyDescent="0.3">
      <c r="A48" s="1"/>
      <c r="B48" s="1" t="s">
        <v>2</v>
      </c>
      <c r="C48" s="2">
        <f>SIN((8/360)*2*PI())*([1]INPUTS!$G$7-[1]INPUTS!$G$6)</f>
        <v>-268.04739244908603</v>
      </c>
      <c r="D48" s="1" t="s">
        <v>0</v>
      </c>
      <c r="E48" s="1" t="s">
        <v>10</v>
      </c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ht="1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ht="15.6" x14ac:dyDescent="0.3">
      <c r="A50" s="1"/>
      <c r="B50" s="1" t="s">
        <v>1</v>
      </c>
      <c r="C50" s="2">
        <f>COS((8/360)*2*PI())*([1]INPUTS!$G$7-[1]INPUTS!$G$6)+[1]INPUTS!$G$6</f>
        <v>-2147.2563003962646</v>
      </c>
      <c r="D50" s="1" t="s">
        <v>0</v>
      </c>
      <c r="E50" s="1" t="s">
        <v>5</v>
      </c>
      <c r="F50" s="1"/>
      <c r="G50" s="1"/>
      <c r="H50" s="1"/>
      <c r="I50" s="3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 ht="1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1:24" ht="15" x14ac:dyDescent="0.25">
      <c r="A52" s="1"/>
      <c r="B52" s="1" t="s">
        <v>9</v>
      </c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1:24" ht="1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1:24" ht="15.6" x14ac:dyDescent="0.3">
      <c r="A54" s="1"/>
      <c r="B54" s="1" t="s">
        <v>2</v>
      </c>
      <c r="C54" s="2">
        <f>SIN((30/360)*2*PI())*([1]INPUTS!$G$7-[1]INPUTS!$G$6)</f>
        <v>-962.99999999999989</v>
      </c>
      <c r="D54" s="1" t="s">
        <v>0</v>
      </c>
      <c r="E54" s="1" t="s">
        <v>8</v>
      </c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spans="1:24" ht="1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spans="1:24" ht="15.6" x14ac:dyDescent="0.3">
      <c r="A56" s="1"/>
      <c r="B56" s="1" t="s">
        <v>1</v>
      </c>
      <c r="C56" s="2">
        <f>COS((30/360)*2*PI())*([1]INPUTS!$G$7-[1]INPUTS!$G$6)+[1]INPUTS!$G$6</f>
        <v>-1907.964927688829</v>
      </c>
      <c r="D56" s="1" t="s">
        <v>0</v>
      </c>
      <c r="E56" s="1" t="s">
        <v>5</v>
      </c>
      <c r="F56" s="1"/>
      <c r="G56" s="1"/>
      <c r="H56" s="1"/>
      <c r="I56" s="3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spans="1:24" ht="1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spans="1:24" ht="15" x14ac:dyDescent="0.25">
      <c r="A58" s="1"/>
      <c r="B58" s="1" t="s">
        <v>7</v>
      </c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spans="1:24" ht="1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spans="1:24" ht="15.6" x14ac:dyDescent="0.3">
      <c r="A60" s="1"/>
      <c r="B60" s="1" t="s">
        <v>2</v>
      </c>
      <c r="C60" s="2">
        <f>SIN((15/360)*2*PI())*([1]INPUTS!$G$7-[1]INPUTS!$G$6)</f>
        <v>-498.48548086745495</v>
      </c>
      <c r="D60" s="1" t="s">
        <v>0</v>
      </c>
      <c r="E60" s="1" t="s">
        <v>6</v>
      </c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spans="1:24" ht="1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spans="1:24" ht="15.6" x14ac:dyDescent="0.3">
      <c r="A62" s="1"/>
      <c r="B62" s="1" t="s">
        <v>1</v>
      </c>
      <c r="C62" s="2">
        <f>COS((15/360)*2*PI())*([1]INPUTS!$G$7-[1]INPUTS!$G$6)+[1]INPUTS!$G$6</f>
        <v>-2100.3731414327458</v>
      </c>
      <c r="D62" s="1" t="s">
        <v>0</v>
      </c>
      <c r="E62" s="1" t="s">
        <v>5</v>
      </c>
      <c r="F62" s="1"/>
      <c r="G62" s="1"/>
      <c r="H62" s="1"/>
      <c r="I62" s="3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spans="1:24" ht="1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spans="1:24" ht="15" x14ac:dyDescent="0.25">
      <c r="A64" s="1"/>
      <c r="B64" s="1" t="s">
        <v>4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spans="1:24" ht="15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spans="1:24" ht="15.6" x14ac:dyDescent="0.3">
      <c r="A66" s="1"/>
      <c r="B66" s="1" t="s">
        <v>2</v>
      </c>
      <c r="C66" s="2">
        <f>-262.5</f>
        <v>-262.5</v>
      </c>
      <c r="D66" s="1" t="s">
        <v>0</v>
      </c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1:24" ht="15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1:24" ht="15.6" x14ac:dyDescent="0.3">
      <c r="A68" s="1"/>
      <c r="B68" s="1" t="s">
        <v>1</v>
      </c>
      <c r="C68" s="2">
        <f>-SQRT(([1]INPUTS!$G$7-[1]INPUTS!$G$6)^2-C66^2)+[1]INPUTS!$G$6</f>
        <v>-2148.0277120629039</v>
      </c>
      <c r="D68" s="1" t="s">
        <v>0</v>
      </c>
      <c r="E68" s="1"/>
      <c r="F68" s="1"/>
      <c r="G68" s="1"/>
      <c r="H68" s="1"/>
      <c r="I68" s="3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1:24" ht="1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1:24" ht="15" x14ac:dyDescent="0.25">
      <c r="A70" s="1"/>
      <c r="B70" s="1" t="s">
        <v>3</v>
      </c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1:24" ht="15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1:24" ht="15.6" x14ac:dyDescent="0.3">
      <c r="A72" s="1"/>
      <c r="B72" s="1" t="s">
        <v>2</v>
      </c>
      <c r="C72" s="2">
        <f>-262.5/2</f>
        <v>-131.25</v>
      </c>
      <c r="D72" s="1" t="s">
        <v>0</v>
      </c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 ht="15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4" ht="15.6" x14ac:dyDescent="0.3">
      <c r="A74" s="1"/>
      <c r="B74" s="1" t="s">
        <v>1</v>
      </c>
      <c r="C74" s="2">
        <f>-SQRT(([1]INPUTS!$G$7-[1]INPUTS!$G$6)^2-C72^2)+[1]INPUTS!$G$6</f>
        <v>-2161.5226872196954</v>
      </c>
      <c r="D74" s="1" t="s">
        <v>0</v>
      </c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1:24" ht="15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1:24" ht="15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1:24" ht="15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:24" ht="15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1:24" ht="15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1:24" ht="15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1:24" ht="15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 ht="15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4" ht="15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1:24" ht="15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1:24" ht="15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1:24" ht="15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1:24" ht="15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1:24" ht="15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1:24" ht="15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1:24" ht="15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1:24" ht="15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1:24" ht="15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1:24" ht="15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1:24" ht="15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1:24" ht="15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1:24" ht="15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1:24" ht="15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1:24" ht="15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1:24" ht="15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1:24" ht="15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1:24" ht="15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1:24" ht="15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1:24" ht="15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1:24" ht="15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1:24" ht="15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1:24" ht="15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1:24" ht="15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1:24" ht="15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1:24" ht="15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1:24" ht="15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1:24" ht="15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1:24" ht="15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1:24" ht="15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1:24" ht="15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spans="1:24" ht="15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spans="1:24" ht="15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spans="1:24" ht="15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spans="1:24" ht="15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spans="1:24" ht="15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spans="1:24" ht="15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spans="1:24" ht="15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spans="1:24" ht="15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spans="1:24" ht="15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spans="1:24" ht="15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spans="1:24" ht="15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spans="1:24" ht="15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spans="1:24" ht="15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spans="1:24" ht="15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spans="1:24" ht="15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spans="1:24" ht="15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spans="1:24" ht="15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spans="1:24" ht="15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spans="1:24" ht="15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spans="1:24" ht="15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spans="1:24" ht="15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spans="1:24" ht="15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spans="1:24" ht="15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spans="1:24" ht="15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spans="1:24" ht="15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spans="1:24" ht="15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spans="1:24" ht="15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spans="1:24" ht="15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spans="1:24" ht="15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spans="1:24" ht="15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spans="1:24" ht="15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spans="1:24" ht="15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spans="1:24" ht="15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spans="1:24" ht="15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spans="1:24" ht="15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spans="1:24" ht="15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spans="1:24" ht="15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spans="1:24" ht="15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spans="1:24" ht="15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spans="1:24" ht="15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spans="1:24" ht="15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spans="1:24" ht="15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spans="1:24" ht="15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spans="1:24" ht="15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spans="1:24" ht="15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spans="1:24" ht="15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spans="1:24" ht="15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spans="1:24" ht="15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spans="1:24" ht="15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spans="1:24" ht="15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spans="1:24" ht="15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spans="1:24" ht="15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spans="1:24" ht="15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spans="1:24" ht="15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spans="1:24" ht="15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spans="1:24" ht="15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spans="1:24" ht="15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spans="1:24" ht="15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spans="1:24" ht="15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spans="1:24" ht="15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spans="1:24" ht="15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spans="1:24" ht="15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spans="1:24" ht="15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spans="1:24" ht="15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spans="1:24" ht="15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spans="1:24" ht="15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spans="1:24" ht="15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spans="1:24" ht="15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spans="1:24" ht="15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spans="1:24" ht="15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spans="1:24" ht="15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spans="1:24" ht="15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spans="1:24" ht="15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spans="1:24" ht="15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spans="1:24" ht="15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spans="1:24" ht="15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spans="1:24" ht="15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spans="1:24" ht="15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spans="1:24" ht="15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spans="1:24" ht="15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spans="1:24" ht="15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spans="1:24" ht="15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spans="1:24" ht="15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spans="1:24" ht="15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spans="1:24" ht="15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spans="1:24" ht="15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spans="1:24" ht="15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spans="1:24" ht="15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spans="1:24" ht="15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spans="1:24" ht="15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spans="1:24" ht="15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spans="1:24" ht="15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spans="1:24" ht="15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spans="1:24" ht="15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spans="1:24" ht="15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spans="1:24" ht="15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spans="1:24" ht="15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spans="1:24" ht="15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spans="1:24" ht="15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spans="1:24" ht="15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spans="1:24" ht="15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spans="1:24" ht="15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spans="1:24" ht="15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spans="1:24" ht="15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spans="1:24" ht="15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spans="1:24" ht="15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spans="1:24" ht="15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spans="1:24" ht="15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spans="1:24" ht="15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spans="1:24" ht="15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spans="1:24" ht="15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spans="1:24" ht="15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spans="1:24" ht="15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spans="1:24" ht="15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spans="1:24" ht="15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spans="1:24" ht="15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spans="1:24" ht="15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spans="1:24" ht="15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spans="1:24" ht="15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spans="1:24" ht="15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spans="1:24" ht="15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spans="1:24" ht="15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spans="1:24" ht="15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spans="1:24" ht="15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spans="1:24" ht="15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spans="1:24" ht="15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spans="1:24" ht="15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spans="1:24" ht="15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spans="1:24" ht="15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spans="1:24" ht="15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spans="1:24" ht="15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spans="1:24" ht="15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spans="1:24" ht="15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 spans="1:24" ht="15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 spans="1:24" ht="15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 spans="1:24" ht="15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 spans="1:24" ht="15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 spans="1:24" ht="15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 spans="1:24" ht="15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 spans="1:24" ht="15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 spans="1:24" ht="15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 spans="1:24" ht="15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 spans="1:24" ht="15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 spans="1:24" ht="15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 spans="1:24" ht="15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 spans="1:24" ht="15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 spans="1:24" ht="15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 spans="1:24" ht="15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 spans="1:24" ht="15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 spans="1:24" ht="15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 spans="1:24" ht="15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 spans="1:24" ht="15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 spans="1:24" ht="15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 spans="1:24" ht="15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 spans="1:24" ht="15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 spans="1:24" ht="15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 spans="1:24" ht="15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 spans="1:24" ht="15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 spans="1:24" ht="15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 spans="1:24" ht="15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 spans="1:24" ht="15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 spans="1:24" ht="15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 spans="1:24" ht="15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 spans="1:24" ht="15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 spans="1:24" ht="15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 spans="1:24" ht="15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 spans="1:24" ht="15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 spans="1:24" ht="15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 spans="1:24" ht="15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 spans="1:24" ht="15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 spans="1:24" ht="15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 spans="1:24" ht="15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 spans="1:24" ht="15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 spans="1:24" ht="15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 spans="1:24" ht="15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 spans="1:24" ht="15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 spans="1:24" ht="15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 spans="1:24" ht="15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 spans="1:24" ht="15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 spans="1:24" ht="15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 spans="1:24" ht="15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 spans="1:24" ht="15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 spans="1:24" ht="15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 spans="1:24" ht="15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 spans="1:24" ht="15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 spans="1:24" ht="15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 spans="1:24" ht="15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 spans="1:24" ht="15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 spans="1:24" ht="15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 spans="1:24" ht="15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 spans="1:24" ht="15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 spans="1:24" ht="15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 spans="1:24" ht="15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 spans="1:24" ht="15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 spans="1:24" ht="15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 spans="1:24" ht="15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 spans="1:24" ht="15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 spans="1:24" ht="15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 spans="1:24" ht="15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 spans="1:24" ht="15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 spans="1:24" ht="15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 spans="1:24" ht="15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 spans="1:24" ht="15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 spans="1:24" ht="15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 spans="1:24" ht="15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 spans="1:24" ht="15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 spans="1:24" ht="15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 spans="1:24" ht="15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 spans="1:24" ht="15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 spans="1:24" ht="15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 spans="1:24" ht="15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 spans="1:24" ht="15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 spans="1:24" ht="15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 spans="1:24" ht="15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 spans="1:24" ht="15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 spans="1:24" ht="15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 spans="1:24" ht="15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 spans="1:24" ht="15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 spans="1:24" ht="15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 spans="1:24" ht="15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 spans="1:24" ht="15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 spans="1:24" ht="15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 spans="1:24" ht="15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 spans="1:24" ht="15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 spans="1:24" ht="15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 spans="1:24" ht="15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 spans="1:24" ht="15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 spans="1:24" ht="15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 spans="1:24" ht="15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 spans="1:24" ht="15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 spans="1:24" ht="15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 spans="1:24" ht="15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 spans="1:24" ht="15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 spans="1:24" ht="15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 spans="1:24" ht="15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 spans="1:24" ht="15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 spans="1:24" ht="15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 spans="1:24" ht="15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 spans="1:24" ht="15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 spans="1:24" ht="15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 spans="1:24" ht="15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 spans="1:24" ht="15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 spans="1:24" ht="15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 spans="1:24" ht="15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 spans="1:24" ht="15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 spans="1:24" ht="15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 spans="1:24" ht="15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 spans="1:24" ht="15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 spans="1:24" ht="15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 spans="1:24" ht="15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 spans="1:24" ht="15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 spans="1:24" ht="15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 spans="1:24" ht="15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 spans="1:24" ht="15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 spans="1:24" ht="15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 spans="1:24" ht="15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 spans="1:24" ht="15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 spans="1:24" ht="15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 spans="1:24" ht="15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 spans="1:24" ht="15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 spans="1:24" ht="15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 spans="1:24" ht="15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 spans="1:24" ht="15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 spans="1:24" ht="15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 spans="1:24" ht="15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 spans="1:24" ht="15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 spans="1:24" ht="15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 spans="1:24" ht="15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 spans="1:24" ht="15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 spans="1:24" ht="15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 spans="1:24" ht="15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 spans="1:24" ht="15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 spans="1:24" ht="15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 spans="1:24" ht="15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 spans="1:24" ht="15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 spans="1:24" ht="15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 spans="1:24" ht="15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 spans="1:24" ht="15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 spans="1:24" ht="15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 spans="1:24" ht="15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 spans="1:24" ht="15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 spans="1:24" ht="15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 spans="1:24" ht="15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 spans="1:24" ht="15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 spans="1:24" ht="15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 spans="1:24" ht="15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 spans="1:24" ht="15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 spans="1:24" ht="15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 spans="1:24" ht="15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 spans="1:24" ht="15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 spans="1:24" ht="15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 spans="1:24" ht="15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 spans="1:24" ht="15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 spans="1:24" ht="15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 spans="1:24" ht="15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 spans="1:24" ht="15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 spans="1:24" ht="15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 spans="1:24" ht="15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 spans="1:24" ht="15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 spans="1:24" ht="15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 spans="1:24" ht="15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 spans="1:24" ht="15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 spans="1:24" ht="15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 spans="1:24" ht="15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 spans="1:24" ht="15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 spans="1:24" ht="15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 spans="1:24" ht="15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 spans="1:24" ht="15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 spans="1:24" ht="15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 spans="1:24" ht="15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 spans="1:24" ht="15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 spans="1:24" ht="15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 spans="1:24" ht="15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 spans="1:24" ht="15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 spans="1:24" ht="15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 spans="1:24" ht="15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 spans="1:24" ht="15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 spans="1:24" ht="15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 spans="1:24" ht="15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 spans="1:24" ht="15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 spans="1:24" ht="15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 spans="1:24" ht="15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 spans="1:24" ht="15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 spans="1:24" ht="15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 spans="1:24" ht="15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 spans="1:24" ht="15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 spans="1:24" ht="15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 spans="1:24" ht="15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 spans="1:24" ht="15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 spans="1:24" ht="15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 spans="1:24" ht="15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 spans="1:24" ht="15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 spans="1:24" ht="15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 spans="1:24" ht="15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 spans="1:24" ht="15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 spans="1:24" ht="15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 spans="1:24" ht="15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 spans="1:24" ht="15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 spans="1:24" ht="15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 spans="1:24" ht="15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 spans="1:24" ht="15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 spans="1:24" ht="15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 spans="1:24" ht="15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 spans="1:24" ht="15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 spans="1:24" ht="15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 spans="1:24" ht="15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 spans="1:24" ht="15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 spans="1:24" ht="15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 spans="1:24" ht="15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 spans="1:24" ht="15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 spans="1:24" ht="15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 spans="1:24" ht="15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 spans="1:24" ht="15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 spans="1:24" ht="15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 spans="1:24" ht="15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 spans="1:24" ht="15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 spans="1:24" ht="15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 spans="1:24" ht="15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 spans="1:24" ht="15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 spans="1:24" ht="15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 spans="1:24" ht="15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 spans="1:24" ht="15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 spans="1:24" ht="15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 spans="1:24" ht="15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 spans="1:24" ht="15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 spans="1:24" ht="15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 spans="1:24" ht="15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 spans="1:24" ht="15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 spans="1:24" ht="15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 spans="1:24" ht="15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 spans="1:24" ht="15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 spans="1:24" ht="15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 spans="1:24" ht="15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 spans="1:24" ht="15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 spans="1:24" ht="15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 spans="1:24" ht="15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 spans="1:24" ht="15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 spans="1:24" ht="15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 spans="1:24" ht="15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 spans="1:24" ht="15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 spans="1:24" ht="15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 spans="1:24" ht="15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 spans="1:24" ht="15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 spans="1:24" ht="15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 spans="1:24" ht="15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 spans="1:24" ht="15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 spans="1:24" ht="15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 spans="1:24" ht="15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 spans="1:24" ht="15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 spans="1:24" ht="15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 spans="1:24" ht="15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 spans="1:24" ht="15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 spans="1:24" ht="15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 spans="1:24" ht="15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 spans="1:24" ht="15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 spans="1:24" ht="15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 spans="1:24" ht="15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 spans="1:24" ht="15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 spans="1:24" ht="15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 spans="1:24" ht="15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 spans="1:24" ht="15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 spans="1:24" ht="15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 spans="1:24" ht="15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 spans="1:24" ht="15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 spans="1:24" ht="15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 spans="1:24" ht="15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 spans="1:24" ht="15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 spans="1:24" ht="15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 spans="1:24" ht="15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 spans="1:24" ht="15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 spans="1:24" ht="15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 spans="1:24" ht="15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 spans="1:24" ht="15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 spans="1:24" ht="15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 spans="1:24" ht="15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 spans="1:24" ht="15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 spans="1:24" ht="15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 spans="1:24" ht="15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 spans="1:24" ht="15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 spans="1:24" ht="15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 spans="1:24" ht="15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 spans="1:24" ht="15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 spans="1:24" ht="15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 spans="1:24" ht="15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 spans="1:24" ht="15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 spans="1:24" ht="15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 spans="1:24" ht="15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 spans="1:24" ht="15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 spans="1:24" ht="15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 spans="1:24" ht="15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 spans="1:24" ht="15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 spans="1:24" ht="15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 spans="1:24" ht="15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 spans="1:24" ht="15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 spans="1:24" ht="15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 spans="1:24" ht="15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 spans="1:24" ht="15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 spans="1:24" ht="15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 spans="1:24" ht="15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 spans="1:24" ht="15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 spans="1:24" ht="15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 spans="1:24" ht="15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 spans="1:24" ht="15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 spans="1:24" ht="15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 spans="1:24" ht="15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 spans="1:24" ht="15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 spans="1:24" ht="15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 spans="1:24" ht="15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 spans="1:24" ht="15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 spans="1:24" ht="15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 spans="1:24" ht="15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 spans="1:24" ht="15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 spans="1:24" ht="15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 spans="1:24" ht="15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 spans="1:24" ht="15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 spans="1:24" ht="15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 spans="1:24" ht="15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 spans="1:24" ht="15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 spans="1:24" ht="15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 spans="1:24" ht="15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 spans="1:24" ht="15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 spans="1:24" ht="15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 spans="1:24" ht="15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 spans="1:24" ht="15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 spans="1:24" ht="15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 spans="1:24" ht="15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 spans="1:24" ht="15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 spans="1:24" ht="15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 spans="1:24" ht="15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 spans="1:24" ht="15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 spans="1:24" ht="15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 spans="1:24" ht="15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 spans="1:24" ht="15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 spans="1:24" ht="15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 spans="1:24" ht="15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 spans="1:24" ht="15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 spans="1:24" ht="15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 spans="1:24" ht="15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 spans="1:24" ht="15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 spans="1:24" ht="15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 spans="1:24" ht="15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 spans="1:24" ht="15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 spans="1:24" ht="15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 spans="1:24" ht="15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 spans="1:24" ht="15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 spans="1:24" ht="15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 spans="1:24" ht="15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 spans="1:24" ht="15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 spans="1:24" ht="15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 spans="1:24" ht="15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 spans="1:24" ht="15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 spans="1:24" ht="15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 spans="1:24" ht="15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 spans="1:24" ht="15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 spans="1:24" ht="15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 spans="1:24" ht="15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 spans="1:24" ht="15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 spans="1:24" ht="15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 spans="1:24" ht="15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 spans="1:24" ht="15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 spans="1:24" ht="15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 spans="1:24" ht="15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 spans="1:24" ht="15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 spans="1:24" ht="15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 spans="1:24" ht="15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 spans="1:24" ht="15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 spans="1:24" ht="15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 spans="1:24" ht="15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 spans="1:24" ht="15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 spans="1:24" ht="15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 spans="1:24" ht="15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 spans="1:24" ht="15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 spans="1:24" ht="15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 spans="1:24" ht="15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 spans="1:24" ht="15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 spans="1:24" ht="15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 spans="1:24" ht="15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 spans="1:24" ht="15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 spans="1:24" ht="15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 spans="1:24" ht="15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 spans="1:24" ht="15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 spans="1:24" ht="15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 spans="1:24" ht="15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 spans="1:24" ht="15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 spans="1:24" ht="15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 spans="1:24" ht="15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 spans="1:24" ht="15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 spans="1:24" ht="15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 spans="1:24" ht="15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 spans="1:24" ht="15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 spans="1:24" ht="15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 spans="1:24" ht="15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 spans="1:24" ht="15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 spans="1:24" ht="15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 spans="1:24" ht="15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 spans="1:24" ht="15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 spans="1:24" ht="15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 spans="1:24" ht="15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 spans="1:24" ht="15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 spans="1:24" ht="15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 spans="1:24" ht="15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 spans="1:24" ht="15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 spans="1:24" ht="15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 spans="1:24" ht="15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 spans="1:24" ht="15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 spans="1:24" ht="15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 spans="1:24" ht="15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 spans="1:24" ht="15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 spans="1:24" ht="15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 spans="1:24" ht="15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 spans="1:24" ht="15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 spans="1:24" ht="15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 spans="1:24" ht="15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 spans="1:24" ht="15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 spans="1:24" ht="15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 spans="1:24" ht="15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 spans="1:24" ht="15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 spans="1:24" ht="15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 spans="1:24" ht="15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 spans="1:24" ht="15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 spans="1:24" ht="15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 spans="1:24" ht="15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 spans="1:24" ht="15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 spans="1:24" ht="15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 spans="1:24" ht="15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 spans="1:24" ht="15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 spans="1:24" ht="15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 spans="1:24" ht="15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 spans="1:24" ht="15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 spans="1:24" ht="15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 spans="1:24" ht="15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 spans="1:24" ht="15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 spans="1:24" ht="15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 spans="1:24" ht="15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 spans="1:24" ht="15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 spans="1:24" ht="15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 spans="1:24" ht="15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 spans="1:24" ht="15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 spans="1:24" ht="15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 spans="1:24" ht="15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 spans="1:24" ht="15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 spans="1:24" ht="15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 spans="1:24" ht="15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 spans="1:24" ht="15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 spans="1:24" ht="15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 spans="1:24" ht="15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 spans="1:24" ht="15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 spans="1:24" ht="15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 spans="1:24" ht="15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 spans="1:24" ht="15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 spans="1:24" ht="15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 spans="1:24" ht="15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 spans="1:24" ht="15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 spans="1:24" ht="15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 spans="1:24" ht="15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 spans="1:24" ht="15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 spans="1:24" ht="15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 spans="1:24" ht="15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 spans="1:24" ht="15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 spans="1:24" ht="15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 spans="1:24" ht="15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 spans="1:24" ht="15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 spans="1:24" ht="15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 spans="1:24" ht="15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 spans="1:24" ht="15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 spans="1:24" ht="15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 spans="1:24" ht="15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 spans="1:24" ht="15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 spans="1:24" ht="15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 spans="1:24" ht="15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 spans="1:24" ht="15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 spans="1:24" ht="15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 spans="1:24" ht="15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 spans="1:24" ht="15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 spans="1:24" ht="15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 spans="1:24" ht="15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 spans="1:24" ht="15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 spans="1:24" ht="15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 spans="1:24" ht="15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 spans="1:24" ht="15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 spans="1:24" ht="15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 spans="1:24" ht="15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 spans="1:24" ht="15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 spans="1:24" ht="15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 spans="1:24" ht="15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 spans="1:24" ht="15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 spans="1:24" ht="15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 spans="1:24" ht="15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 spans="1:24" ht="15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 spans="1:24" ht="15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 spans="1:24" ht="15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 spans="1:24" ht="15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 spans="1:24" ht="15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 spans="1:24" ht="15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 spans="1:24" ht="15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 spans="1:24" ht="15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 spans="1:24" ht="15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 spans="1:24" ht="15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 spans="1:24" ht="15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 spans="1:24" ht="15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 spans="1:24" ht="15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 spans="1:24" ht="15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 spans="1:24" ht="15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 spans="1:24" ht="15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 spans="1:24" ht="15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 spans="1:24" ht="15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 spans="1:24" ht="15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 spans="1:24" ht="15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 spans="1:24" ht="15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 spans="1:24" ht="15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 spans="1:24" ht="15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 spans="1:24" ht="15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 spans="1:24" ht="15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 spans="1:24" ht="15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 spans="1:24" ht="15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 spans="1:24" ht="15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 spans="1:24" ht="15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 spans="1:24" ht="15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 spans="1:24" ht="15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 spans="1:24" ht="15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 spans="1:24" ht="15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 spans="1:24" ht="15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 spans="1:24" ht="15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 spans="1:24" ht="15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 spans="1:24" ht="15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 spans="1:24" ht="15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 spans="1:24" ht="15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 spans="1:24" ht="15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 spans="1:24" ht="15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 spans="1:24" ht="15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 spans="1:24" ht="15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 spans="1:24" ht="15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 spans="1:24" ht="15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 spans="1:24" ht="15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 spans="1:24" ht="15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 spans="1:24" ht="15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 spans="1:24" ht="15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 spans="1:24" ht="15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 spans="1:24" ht="15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 spans="1:24" ht="15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 spans="1:24" ht="15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 spans="1:24" ht="15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 spans="1:24" ht="15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 spans="1:24" ht="15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 spans="1:24" ht="15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 spans="1:24" ht="15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 spans="1:24" ht="15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 spans="1:24" ht="15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 spans="1:24" ht="15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 spans="1:24" ht="15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 spans="1:24" ht="15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 spans="1:24" ht="15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 spans="1:24" ht="15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 spans="1:24" ht="15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 spans="1:24" ht="15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 spans="1:24" ht="15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 spans="1:24" ht="15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 spans="1:24" ht="15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 spans="1:24" ht="15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 spans="1:24" ht="15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 spans="1:24" ht="15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 spans="1:24" ht="15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 spans="1:24" ht="15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 spans="1:24" ht="15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 spans="1:24" ht="15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 spans="1:24" ht="15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 spans="1:24" ht="15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 spans="1:24" ht="15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 spans="1:24" ht="15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 spans="1:24" ht="15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 spans="1:24" ht="15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 spans="1:24" ht="15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27" spans="1:24" ht="15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 spans="1:24" ht="15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 spans="1:24" ht="15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 spans="1:24" ht="15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 spans="1:24" ht="15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 spans="1:24" ht="15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 spans="1:24" ht="15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 spans="1:24" ht="15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 spans="1:24" ht="15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 spans="1:24" ht="15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 spans="1:24" ht="15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 spans="1:24" ht="15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 spans="1:24" ht="15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 spans="1:24" ht="15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 spans="1:24" ht="15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 spans="1:24" ht="15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 spans="1:24" ht="15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 spans="1:24" ht="15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 spans="1:24" ht="15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 spans="1:24" ht="15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 spans="1:24" ht="15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 spans="1:24" ht="15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</row>
    <row r="849" spans="1:24" ht="15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 spans="1:24" ht="15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</row>
    <row r="851" spans="1:24" ht="15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 spans="1:24" ht="15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</row>
    <row r="853" spans="1:24" ht="15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 spans="1:24" ht="15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</row>
    <row r="855" spans="1:24" ht="15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 spans="1:24" ht="15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</row>
    <row r="857" spans="1:24" ht="15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 spans="1:24" ht="15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</row>
    <row r="859" spans="1:24" ht="15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</row>
    <row r="860" spans="1:24" ht="15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</row>
    <row r="861" spans="1:24" ht="15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 spans="1:24" ht="15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</row>
    <row r="863" spans="1:24" ht="15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</row>
    <row r="864" spans="1:24" ht="15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</row>
    <row r="865" spans="1:24" ht="15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 spans="1:24" ht="15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</row>
    <row r="867" spans="1:24" ht="15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</row>
    <row r="868" spans="1:24" ht="15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</row>
    <row r="869" spans="1:24" ht="15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 spans="1:24" ht="15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</row>
    <row r="871" spans="1:24" ht="15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</row>
    <row r="872" spans="1:24" ht="15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</row>
    <row r="873" spans="1:24" ht="15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 spans="1:24" ht="15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</row>
    <row r="875" spans="1:24" ht="15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</row>
    <row r="876" spans="1:24" ht="15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</row>
    <row r="877" spans="1:24" ht="15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</row>
    <row r="878" spans="1:24" ht="15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</row>
    <row r="879" spans="1:24" ht="15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</row>
    <row r="880" spans="1:24" ht="15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</row>
    <row r="881" spans="1:24" ht="15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</row>
    <row r="882" spans="1:24" ht="15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</row>
    <row r="883" spans="1:24" ht="15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</row>
    <row r="884" spans="1:24" ht="15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</row>
    <row r="885" spans="1:24" ht="15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6" spans="1:24" ht="15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</row>
    <row r="887" spans="1:24" ht="15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</row>
    <row r="888" spans="1:24" ht="15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</row>
    <row r="889" spans="1:24" ht="15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</row>
    <row r="890" spans="1:24" ht="15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</row>
    <row r="891" spans="1:24" ht="15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</row>
    <row r="892" spans="1:24" ht="15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</row>
    <row r="893" spans="1:24" ht="15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894" spans="1:24" ht="15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</row>
    <row r="895" spans="1:24" ht="15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</row>
    <row r="896" spans="1:24" ht="15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</row>
    <row r="897" spans="1:24" ht="15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</row>
    <row r="898" spans="1:24" ht="15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</row>
    <row r="899" spans="1:24" ht="15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</row>
    <row r="900" spans="1:24" ht="15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</row>
    <row r="901" spans="1:24" ht="15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</row>
    <row r="902" spans="1:24" ht="15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</row>
    <row r="903" spans="1:24" ht="15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</row>
    <row r="904" spans="1:24" ht="15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</row>
    <row r="905" spans="1:24" ht="15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</row>
    <row r="906" spans="1:24" ht="15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</row>
    <row r="907" spans="1:24" ht="15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</row>
    <row r="908" spans="1:24" ht="15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</row>
    <row r="909" spans="1:24" ht="15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</row>
    <row r="910" spans="1:24" ht="15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</row>
    <row r="911" spans="1:24" ht="15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</row>
    <row r="912" spans="1:24" ht="15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</row>
    <row r="913" spans="1:24" ht="15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</row>
    <row r="914" spans="1:24" ht="15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</row>
    <row r="915" spans="1:24" ht="15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</row>
    <row r="916" spans="1:24" ht="15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</row>
    <row r="917" spans="1:24" ht="15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</row>
    <row r="918" spans="1:24" ht="15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</row>
    <row r="919" spans="1:24" ht="15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</row>
    <row r="920" spans="1:24" ht="15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</row>
    <row r="921" spans="1:24" ht="15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</row>
    <row r="922" spans="1:24" ht="15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</row>
    <row r="923" spans="1:24" ht="15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</row>
    <row r="924" spans="1:24" ht="15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</row>
    <row r="925" spans="1:24" ht="15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</row>
    <row r="926" spans="1:24" ht="15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</row>
    <row r="927" spans="1:24" ht="15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</row>
    <row r="928" spans="1:24" ht="15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</row>
    <row r="929" spans="1:24" ht="15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</row>
    <row r="930" spans="1:24" ht="15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</row>
    <row r="931" spans="1:24" ht="15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</row>
    <row r="932" spans="1:24" ht="15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</row>
    <row r="933" spans="1:24" ht="15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</row>
    <row r="934" spans="1:24" ht="15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</row>
    <row r="935" spans="1:24" ht="15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</row>
    <row r="936" spans="1:24" ht="15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</row>
    <row r="937" spans="1:24" ht="15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</row>
    <row r="938" spans="1:24" ht="15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</row>
    <row r="939" spans="1:24" ht="15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</row>
    <row r="940" spans="1:24" ht="15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</row>
    <row r="941" spans="1:24" ht="15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</row>
    <row r="942" spans="1:24" ht="15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</row>
    <row r="943" spans="1:24" ht="15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</row>
    <row r="944" spans="1:24" ht="15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GEOMETRY_PROCESSING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 verma</dc:creator>
  <cp:lastModifiedBy>aman verma</cp:lastModifiedBy>
  <dcterms:created xsi:type="dcterms:W3CDTF">2026-03-17T16:03:40Z</dcterms:created>
  <dcterms:modified xsi:type="dcterms:W3CDTF">2026-03-17T16:04:00Z</dcterms:modified>
</cp:coreProperties>
</file>