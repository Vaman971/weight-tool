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EN\Aman Dropbox\Aman verma\My PC (LAPTOP-UK6RT4E8)\Downloads\"/>
    </mc:Choice>
  </mc:AlternateContent>
  <xr:revisionPtr revIDLastSave="0" documentId="8_{330D64B0-5EB1-4093-ABE0-4D5F8AF9F5BD}" xr6:coauthVersionLast="47" xr6:coauthVersionMax="47" xr10:uidLastSave="{00000000-0000-0000-0000-000000000000}"/>
  <bookViews>
    <workbookView xWindow="-108" yWindow="-108" windowWidth="23256" windowHeight="12456" xr2:uid="{6B8E4A25-B9D3-4153-B748-88062D59E715}"/>
  </bookViews>
  <sheets>
    <sheet name="STRINGERS_&amp;_EDGE_REINFORCEMENTS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G4" i="1"/>
  <c r="H4" i="1"/>
  <c r="I4" i="1"/>
  <c r="J4" i="1"/>
  <c r="O4" i="1"/>
  <c r="D4" i="1" s="1"/>
  <c r="E5" i="1"/>
  <c r="F5" i="1"/>
  <c r="I5" i="1" s="1"/>
  <c r="G5" i="1"/>
  <c r="J5" i="1" s="1"/>
  <c r="H5" i="1"/>
  <c r="O5" i="1" s="1"/>
  <c r="D5" i="1" s="1"/>
  <c r="E6" i="1"/>
  <c r="G6" i="1"/>
  <c r="H6" i="1"/>
  <c r="I6" i="1"/>
  <c r="J6" i="1"/>
  <c r="O6" i="1"/>
  <c r="D6" i="1" s="1"/>
  <c r="E7" i="1"/>
  <c r="O7" i="1" s="1"/>
  <c r="D7" i="1" s="1"/>
  <c r="F7" i="1"/>
  <c r="G7" i="1"/>
  <c r="H7" i="1"/>
  <c r="I7" i="1"/>
  <c r="J7" i="1"/>
  <c r="E8" i="1"/>
  <c r="G8" i="1"/>
  <c r="H8" i="1"/>
  <c r="O8" i="1" s="1"/>
  <c r="D8" i="1" s="1"/>
  <c r="I8" i="1"/>
  <c r="J8" i="1"/>
  <c r="E9" i="1"/>
  <c r="F9" i="1"/>
  <c r="G9" i="1"/>
  <c r="H9" i="1"/>
  <c r="I9" i="1"/>
  <c r="J9" i="1"/>
  <c r="O9" i="1"/>
  <c r="D9" i="1" s="1"/>
  <c r="E10" i="1"/>
  <c r="O10" i="1" s="1"/>
  <c r="D10" i="1" s="1"/>
  <c r="F10" i="1"/>
  <c r="G10" i="1"/>
  <c r="H10" i="1"/>
  <c r="I10" i="1"/>
  <c r="J10" i="1"/>
  <c r="K10" i="1"/>
  <c r="L10" i="1"/>
  <c r="M10" i="1"/>
</calcChain>
</file>

<file path=xl/sharedStrings.xml><?xml version="1.0" encoding="utf-8"?>
<sst xmlns="http://schemas.openxmlformats.org/spreadsheetml/2006/main" count="28" uniqueCount="26">
  <si>
    <t>Mass of ULI is doubled as there are two sections; one above the panel and one below</t>
  </si>
  <si>
    <t>AFT</t>
  </si>
  <si>
    <t>FWD</t>
  </si>
  <si>
    <t>BTM_PANEL_REINF</t>
  </si>
  <si>
    <t>Mass of ULI in WeightOps input is halved as Symmetry ticked</t>
  </si>
  <si>
    <t>STRINGER 3</t>
  </si>
  <si>
    <t>STRINGER 2</t>
  </si>
  <si>
    <t>STRINGER 1</t>
  </si>
  <si>
    <t>BTM_STRINGERS</t>
  </si>
  <si>
    <t>TOP_STRINGERS</t>
  </si>
  <si>
    <t>Length (mm)</t>
  </si>
  <si>
    <t>Area (mm^2)</t>
  </si>
  <si>
    <t>Z3</t>
  </si>
  <si>
    <t>Y3</t>
  </si>
  <si>
    <t>X3</t>
  </si>
  <si>
    <t>Z2</t>
  </si>
  <si>
    <t>Y2</t>
  </si>
  <si>
    <t>X2</t>
  </si>
  <si>
    <t>Z1</t>
  </si>
  <si>
    <t>Y1</t>
  </si>
  <si>
    <t>X1</t>
  </si>
  <si>
    <t>Mass</t>
  </si>
  <si>
    <t>ULI</t>
  </si>
  <si>
    <t>SYM</t>
  </si>
  <si>
    <t>All mass values in Grammes</t>
  </si>
  <si>
    <t>STRINGERS &amp; REINFORCEMENT PRIMITIVES GEOMETRY - all units in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</si>
</sst>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2"/>
      <color rgb="FF000000"/>
      <name val="Arial"/>
      <scheme val="minor"/>
    </font>
    <font>
      <sz val="12"/>
      <color rgb="FF000000"/>
      <name val="Arial"/>
    </font>
    <font>
      <b/>
      <sz val="12"/>
      <color rgb="FF000000"/>
      <name val="Arial"/>
      <scheme val="minor"/>
    </font>
    <font>
      <i/>
      <sz val="12"/>
      <color rgb="FFFF0000"/>
      <name val="Arial"/>
      <scheme val="minor"/>
    </font>
    <font>
      <sz val="10"/>
      <name val="Arial"/>
    </font>
    <font>
      <sz val="12"/>
      <color rgb="FFFF0000"/>
      <name val="Arial"/>
      <scheme val="minor"/>
    </font>
    <font>
      <b/>
      <sz val="12"/>
      <color rgb="FFFF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Border="1"/>
    <xf numFmtId="0" fontId="7" fillId="0" borderId="0" xfId="0" applyFont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6" fillId="0" borderId="4" xfId="0" applyFont="1" applyBorder="1"/>
    <xf numFmtId="0" fontId="4" fillId="3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8" fillId="3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GEOMETRY_PROCESSING.xlsx" TargetMode="External"/><Relationship Id="rId1" Type="http://schemas.openxmlformats.org/officeDocument/2006/relationships/externalLinkPath" Target="GEOMETRY_PROCESSIN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INPUTS.xlsx" TargetMode="External"/><Relationship Id="rId1" Type="http://schemas.openxmlformats.org/officeDocument/2006/relationships/externalLinkPath" Target="INPUT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MEN\Aman%20Dropbox\Aman%20verma\My%20PC%20(LAPTOP-UK6RT4E8)\Downloads\SIDE_PANELS.xlsx" TargetMode="External"/><Relationship Id="rId1" Type="http://schemas.openxmlformats.org/officeDocument/2006/relationships/externalLinkPath" Target="SIDE_PANE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OMETRY_PROCESSING"/>
    </sheetNames>
    <sheetDataSet>
      <sheetData sheetId="0">
        <row r="6">
          <cell r="C6">
            <v>-877.37949133175096</v>
          </cell>
        </row>
        <row r="8">
          <cell r="C8">
            <v>-1954.5498616810296</v>
          </cell>
        </row>
        <row r="18">
          <cell r="C18">
            <v>-301.29277966748464</v>
          </cell>
        </row>
        <row r="20">
          <cell r="C20">
            <v>-2142.2877439862355</v>
          </cell>
        </row>
        <row r="30">
          <cell r="C30">
            <v>-400.43791651500442</v>
          </cell>
        </row>
        <row r="32">
          <cell r="C32">
            <v>-2123.9122790133097</v>
          </cell>
        </row>
        <row r="42">
          <cell r="C42">
            <v>-530.87754730354038</v>
          </cell>
        </row>
        <row r="44">
          <cell r="C44">
            <v>-2091.390026377202</v>
          </cell>
        </row>
        <row r="54">
          <cell r="C54">
            <v>-962.99999999999989</v>
          </cell>
        </row>
        <row r="56">
          <cell r="C56">
            <v>-1907.964927688829</v>
          </cell>
        </row>
        <row r="68">
          <cell r="C68">
            <v>-2148.0277120629039</v>
          </cell>
        </row>
        <row r="74">
          <cell r="C74">
            <v>-2161.5226872196954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</sheetNames>
    <sheetDataSet>
      <sheetData sheetId="0">
        <row r="4">
          <cell r="G4">
            <v>19634.2</v>
          </cell>
        </row>
        <row r="5">
          <cell r="G5">
            <v>25628.6</v>
          </cell>
        </row>
        <row r="7">
          <cell r="G7">
            <v>-2166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DE_PANELS"/>
    </sheetNames>
    <sheetDataSet>
      <sheetData sheetId="0">
        <row r="4">
          <cell r="C4">
            <v>488.97624374999998</v>
          </cell>
          <cell r="L4">
            <v>-1918.4562834914755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D2C0-4CBC-4B47-B93B-BF256DFBCBAB}">
  <sheetPr>
    <outlinePr summaryBelow="0" summaryRight="0"/>
  </sheetPr>
  <dimension ref="A1:V1005"/>
  <sheetViews>
    <sheetView tabSelected="1" workbookViewId="0">
      <selection activeCell="C16" sqref="C16"/>
    </sheetView>
  </sheetViews>
  <sheetFormatPr defaultColWidth="12.6640625" defaultRowHeight="15.75" customHeight="1" x14ac:dyDescent="0.25"/>
  <cols>
    <col min="1" max="1" width="20.88671875" customWidth="1"/>
    <col min="2" max="2" width="17.33203125" customWidth="1"/>
    <col min="4" max="12" width="13.33203125" customWidth="1"/>
    <col min="13" max="13" width="14.6640625" customWidth="1"/>
    <col min="14" max="14" width="15.88671875" customWidth="1"/>
    <col min="15" max="15" width="16" customWidth="1"/>
  </cols>
  <sheetData>
    <row r="1" spans="1:22" ht="15.6" x14ac:dyDescent="0.3">
      <c r="A1" s="1"/>
      <c r="B1" s="28" t="s">
        <v>25</v>
      </c>
      <c r="C1" s="1"/>
      <c r="D1" s="1"/>
      <c r="E1" s="1"/>
      <c r="F1" s="1"/>
      <c r="G1" s="1"/>
      <c r="H1" s="27" t="s">
        <v>24</v>
      </c>
      <c r="I1" s="18"/>
      <c r="J1" s="18"/>
      <c r="K1" s="26" t="s">
        <v>23</v>
      </c>
      <c r="L1" s="26" t="b">
        <v>1</v>
      </c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5.6" x14ac:dyDescent="0.3">
      <c r="A3" s="1"/>
      <c r="B3" s="1"/>
      <c r="C3" s="25" t="s">
        <v>22</v>
      </c>
      <c r="D3" s="24" t="s">
        <v>21</v>
      </c>
      <c r="E3" s="24" t="s">
        <v>20</v>
      </c>
      <c r="F3" s="24" t="s">
        <v>19</v>
      </c>
      <c r="G3" s="24" t="s">
        <v>18</v>
      </c>
      <c r="H3" s="23" t="s">
        <v>17</v>
      </c>
      <c r="I3" s="23" t="s">
        <v>16</v>
      </c>
      <c r="J3" s="23" t="s">
        <v>15</v>
      </c>
      <c r="K3" s="23" t="s">
        <v>14</v>
      </c>
      <c r="L3" s="23" t="s">
        <v>13</v>
      </c>
      <c r="M3" s="23" t="s">
        <v>12</v>
      </c>
      <c r="N3" s="22" t="s">
        <v>11</v>
      </c>
      <c r="O3" s="22" t="s">
        <v>10</v>
      </c>
      <c r="P3" s="1"/>
      <c r="Q3" s="1"/>
      <c r="R3" s="1"/>
      <c r="S3" s="1"/>
      <c r="T3" s="1"/>
      <c r="U3" s="1"/>
      <c r="V3" s="1"/>
    </row>
    <row r="4" spans="1:22" ht="19.5" customHeight="1" x14ac:dyDescent="0.25">
      <c r="A4" s="20" t="s">
        <v>9</v>
      </c>
      <c r="B4" s="16" t="s">
        <v>7</v>
      </c>
      <c r="C4" s="15">
        <v>1</v>
      </c>
      <c r="D4" s="12">
        <f>N4*O4*0.00283</f>
        <v>4404.5695499999974</v>
      </c>
      <c r="E4" s="13">
        <f>[2]INPUTS!$G$4</f>
        <v>19634.2</v>
      </c>
      <c r="F4" s="13">
        <v>-262.5</v>
      </c>
      <c r="G4" s="13">
        <f>[3]SIDE_PANELS!L4</f>
        <v>-1918.4562834914755</v>
      </c>
      <c r="H4" s="13">
        <f>[2]INPUTS!$G$5-533.4</f>
        <v>25095.199999999997</v>
      </c>
      <c r="I4" s="13">
        <f>F4</f>
        <v>-262.5</v>
      </c>
      <c r="J4" s="13">
        <f>G4</f>
        <v>-1918.4562834914755</v>
      </c>
      <c r="K4" s="19"/>
      <c r="L4" s="19"/>
      <c r="M4" s="19"/>
      <c r="N4" s="12">
        <v>285</v>
      </c>
      <c r="O4" s="12">
        <f>H4-E4</f>
        <v>5460.9999999999964</v>
      </c>
      <c r="P4" s="6"/>
      <c r="Q4" s="1"/>
      <c r="R4" s="1"/>
      <c r="S4" s="1"/>
      <c r="T4" s="1"/>
      <c r="U4" s="1"/>
      <c r="V4" s="1"/>
    </row>
    <row r="5" spans="1:22" ht="19.5" customHeight="1" x14ac:dyDescent="0.25">
      <c r="A5" s="17"/>
      <c r="B5" s="16" t="s">
        <v>6</v>
      </c>
      <c r="C5" s="15">
        <v>2</v>
      </c>
      <c r="D5" s="12">
        <f>N5*O5*0.00283</f>
        <v>4512.7519599999969</v>
      </c>
      <c r="E5" s="13">
        <f>[2]INPUTS!$G$4</f>
        <v>19634.2</v>
      </c>
      <c r="F5" s="13">
        <f>-262.5/2</f>
        <v>-131.25</v>
      </c>
      <c r="G5" s="13">
        <f>G4</f>
        <v>-1918.4562834914755</v>
      </c>
      <c r="H5" s="13">
        <f>[2]INPUTS!$G$5-533.4</f>
        <v>25095.199999999997</v>
      </c>
      <c r="I5" s="13">
        <f>F5</f>
        <v>-131.25</v>
      </c>
      <c r="J5" s="13">
        <f>G5</f>
        <v>-1918.4562834914755</v>
      </c>
      <c r="K5" s="19"/>
      <c r="L5" s="19"/>
      <c r="M5" s="19"/>
      <c r="N5" s="12">
        <v>292</v>
      </c>
      <c r="O5" s="12">
        <f>H5-E5</f>
        <v>5460.9999999999964</v>
      </c>
      <c r="P5" s="6"/>
      <c r="Q5" s="1"/>
      <c r="R5" s="1"/>
      <c r="S5" s="1"/>
      <c r="T5" s="1"/>
      <c r="U5" s="1"/>
      <c r="V5" s="1"/>
    </row>
    <row r="6" spans="1:22" ht="19.5" customHeight="1" x14ac:dyDescent="0.25">
      <c r="A6" s="20" t="s">
        <v>8</v>
      </c>
      <c r="B6" s="16" t="s">
        <v>7</v>
      </c>
      <c r="C6" s="15">
        <v>3</v>
      </c>
      <c r="D6" s="12">
        <f>N6*O6*0.00283</f>
        <v>9195.5048499999939</v>
      </c>
      <c r="E6" s="13">
        <f>[2]INPUTS!$G$4</f>
        <v>19634.2</v>
      </c>
      <c r="F6" s="13">
        <v>-262.5</v>
      </c>
      <c r="G6" s="13">
        <f>[1]GEOMETRY_PROCESSING!$C$68</f>
        <v>-2148.0277120629039</v>
      </c>
      <c r="H6" s="13">
        <f>[2]INPUTS!$G$5-533.4</f>
        <v>25095.199999999997</v>
      </c>
      <c r="I6" s="13">
        <f>F6</f>
        <v>-262.5</v>
      </c>
      <c r="J6" s="13">
        <f>G6</f>
        <v>-2148.0277120629039</v>
      </c>
      <c r="K6" s="19"/>
      <c r="L6" s="19"/>
      <c r="M6" s="19"/>
      <c r="N6" s="12">
        <v>595</v>
      </c>
      <c r="O6" s="12">
        <f>H6-E6</f>
        <v>5460.9999999999964</v>
      </c>
      <c r="P6" s="6"/>
      <c r="Q6" s="1"/>
      <c r="R6" s="1"/>
      <c r="S6" s="1"/>
      <c r="T6" s="1"/>
      <c r="U6" s="1"/>
      <c r="V6" s="1"/>
    </row>
    <row r="7" spans="1:22" ht="19.5" customHeight="1" x14ac:dyDescent="0.25">
      <c r="A7" s="21"/>
      <c r="B7" s="16" t="s">
        <v>6</v>
      </c>
      <c r="C7" s="15">
        <v>4</v>
      </c>
      <c r="D7" s="12">
        <f>N7*O7*0.00283</f>
        <v>5192.7556799999966</v>
      </c>
      <c r="E7" s="13">
        <f>[2]INPUTS!$G$4</f>
        <v>19634.2</v>
      </c>
      <c r="F7" s="13">
        <f>-262.5/2</f>
        <v>-131.25</v>
      </c>
      <c r="G7" s="13">
        <f>[1]GEOMETRY_PROCESSING!$C$74</f>
        <v>-2161.5226872196954</v>
      </c>
      <c r="H7" s="13">
        <f>[2]INPUTS!$G$5-533.4</f>
        <v>25095.199999999997</v>
      </c>
      <c r="I7" s="13">
        <f>F7</f>
        <v>-131.25</v>
      </c>
      <c r="J7" s="13">
        <f>G7</f>
        <v>-2161.5226872196954</v>
      </c>
      <c r="K7" s="19"/>
      <c r="L7" s="19"/>
      <c r="M7" s="19"/>
      <c r="N7" s="12">
        <v>336</v>
      </c>
      <c r="O7" s="12">
        <f>H7-E7</f>
        <v>5460.9999999999964</v>
      </c>
      <c r="P7" s="6"/>
      <c r="Q7" s="1"/>
      <c r="R7" s="1"/>
      <c r="S7" s="1"/>
      <c r="T7" s="1"/>
      <c r="U7" s="1"/>
      <c r="V7" s="1"/>
    </row>
    <row r="8" spans="1:22" ht="19.5" customHeight="1" x14ac:dyDescent="0.25">
      <c r="A8" s="17"/>
      <c r="B8" s="16" t="s">
        <v>5</v>
      </c>
      <c r="C8" s="15">
        <v>5</v>
      </c>
      <c r="D8" s="12">
        <f>N8*O8*0.00283/2</f>
        <v>2596.3778399999983</v>
      </c>
      <c r="E8" s="13">
        <f>[2]INPUTS!$G$4</f>
        <v>19634.2</v>
      </c>
      <c r="F8" s="13">
        <v>0</v>
      </c>
      <c r="G8" s="13">
        <f>[2]INPUTS!G7</f>
        <v>-2166</v>
      </c>
      <c r="H8" s="13">
        <f>[2]INPUTS!$G$5-533.4</f>
        <v>25095.199999999997</v>
      </c>
      <c r="I8" s="13">
        <f>F8</f>
        <v>0</v>
      </c>
      <c r="J8" s="13">
        <f>G8</f>
        <v>-2166</v>
      </c>
      <c r="K8" s="19"/>
      <c r="L8" s="19"/>
      <c r="M8" s="19"/>
      <c r="N8" s="12">
        <v>336</v>
      </c>
      <c r="O8" s="12">
        <f>H8-E8</f>
        <v>5460.9999999999964</v>
      </c>
      <c r="P8" s="11" t="s">
        <v>4</v>
      </c>
      <c r="Q8" s="1"/>
      <c r="R8" s="1"/>
      <c r="S8" s="1"/>
      <c r="T8" s="1"/>
      <c r="U8" s="1"/>
      <c r="V8" s="1"/>
    </row>
    <row r="9" spans="1:22" ht="19.5" customHeight="1" x14ac:dyDescent="0.25">
      <c r="A9" s="20" t="s">
        <v>3</v>
      </c>
      <c r="B9" s="16" t="s">
        <v>2</v>
      </c>
      <c r="C9" s="15">
        <v>6</v>
      </c>
      <c r="D9" s="12">
        <f>N9*O9*0.00283</f>
        <v>1102.3534350127097</v>
      </c>
      <c r="E9" s="13">
        <f>[2]INPUTS!$G$4</f>
        <v>19634.2</v>
      </c>
      <c r="F9" s="13">
        <f>[1]GEOMETRY_PROCESSING!C6</f>
        <v>-877.37949133175096</v>
      </c>
      <c r="G9" s="13">
        <f>[1]GEOMETRY_PROCESSING!C8</f>
        <v>-1954.5498616810296</v>
      </c>
      <c r="H9" s="13">
        <f>[2]INPUTS!$G$4+750</f>
        <v>20384.2</v>
      </c>
      <c r="I9" s="13">
        <f>[1]GEOMETRY_PROCESSING!C18</f>
        <v>-301.29277966748464</v>
      </c>
      <c r="J9" s="13">
        <f>[1]GEOMETRY_PROCESSING!C20</f>
        <v>-2142.2877439862355</v>
      </c>
      <c r="K9" s="19"/>
      <c r="L9" s="19"/>
      <c r="M9" s="19"/>
      <c r="N9" s="12">
        <v>404</v>
      </c>
      <c r="O9" s="12">
        <f>SQRT((E9-H9)^2+(F9-I9)^2+(G9-J9)^2)</f>
        <v>964.16876728537045</v>
      </c>
      <c r="P9" s="18"/>
      <c r="Q9" s="1"/>
      <c r="R9" s="1"/>
      <c r="S9" s="1"/>
      <c r="T9" s="1"/>
      <c r="U9" s="1"/>
      <c r="V9" s="1"/>
    </row>
    <row r="10" spans="1:22" ht="19.5" customHeight="1" x14ac:dyDescent="0.25">
      <c r="A10" s="17"/>
      <c r="B10" s="16" t="s">
        <v>1</v>
      </c>
      <c r="C10" s="15">
        <v>7</v>
      </c>
      <c r="D10" s="12">
        <f>N10*O10*0.00283*2</f>
        <v>1773.0164005649874</v>
      </c>
      <c r="E10" s="14">
        <f>[2]INPUTS!$G$5-740.7</f>
        <v>24887.899999999998</v>
      </c>
      <c r="F10" s="13">
        <f>[1]GEOMETRY_PROCESSING!C30</f>
        <v>-400.43791651500442</v>
      </c>
      <c r="G10" s="13">
        <f>[1]GEOMETRY_PROCESSING!C32</f>
        <v>-2123.9122790133097</v>
      </c>
      <c r="H10" s="13">
        <f>[2]INPUTS!$G$5-500</f>
        <v>25128.6</v>
      </c>
      <c r="I10" s="13">
        <f>[1]GEOMETRY_PROCESSING!C42</f>
        <v>-530.87754730354038</v>
      </c>
      <c r="J10" s="13">
        <f>[1]GEOMETRY_PROCESSING!C44</f>
        <v>-2091.390026377202</v>
      </c>
      <c r="K10" s="13">
        <f>[2]INPUTS!G5-328.8</f>
        <v>25299.8</v>
      </c>
      <c r="L10" s="13">
        <f>[1]GEOMETRY_PROCESSING!C54</f>
        <v>-962.99999999999989</v>
      </c>
      <c r="M10" s="13">
        <f>[1]GEOMETRY_PROCESSING!C56</f>
        <v>-1907.964927688829</v>
      </c>
      <c r="N10" s="12">
        <v>404</v>
      </c>
      <c r="O10" s="12">
        <f>SQRT((E10-H10)^2+(F10-I10)^2+(G10-J10)^2)+SQRT((H10-K10)^2+(I10-L10)^2+(J10-M10)^2)</f>
        <v>775.38064608551724</v>
      </c>
      <c r="P10" s="11" t="s">
        <v>0</v>
      </c>
      <c r="Q10" s="1"/>
      <c r="R10" s="1"/>
      <c r="S10" s="1"/>
      <c r="T10" s="1"/>
      <c r="U10" s="1"/>
      <c r="V10" s="1"/>
    </row>
    <row r="11" spans="1:22" ht="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5.6" x14ac:dyDescent="0.25">
      <c r="A12" s="1"/>
      <c r="B12" s="10"/>
      <c r="C12" s="1"/>
      <c r="D12" s="1"/>
      <c r="E12" s="1"/>
      <c r="F12" s="1"/>
      <c r="G12" s="1"/>
      <c r="H12" s="1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5" x14ac:dyDescent="0.25">
      <c r="A13" s="1"/>
      <c r="B13" s="1"/>
      <c r="C13" s="1"/>
      <c r="D13" s="1"/>
      <c r="E13" s="1"/>
      <c r="F13" s="1"/>
      <c r="G13" s="8"/>
      <c r="H13" s="1"/>
      <c r="I13" s="8"/>
      <c r="J13" s="8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5" x14ac:dyDescent="0.25">
      <c r="A14" s="1"/>
      <c r="B14" s="1"/>
      <c r="C14" s="1"/>
      <c r="D14" s="1"/>
      <c r="E14" s="1"/>
      <c r="F14" s="9"/>
      <c r="G14" s="8"/>
      <c r="H14" s="1"/>
      <c r="I14" s="8"/>
      <c r="J14" s="8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5" x14ac:dyDescent="0.25">
      <c r="A15" s="1"/>
      <c r="B15" s="1"/>
      <c r="C15" s="1"/>
      <c r="D15" s="1"/>
      <c r="E15" s="1"/>
      <c r="F15" s="1"/>
      <c r="G15" s="8"/>
      <c r="H15" s="8"/>
      <c r="I15" s="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5"/>
      <c r="O17" s="1"/>
      <c r="P17" s="1"/>
      <c r="Q17" s="1"/>
      <c r="R17" s="1"/>
      <c r="S17" s="1"/>
      <c r="T17" s="1"/>
      <c r="U17" s="1"/>
      <c r="V17" s="1"/>
    </row>
    <row r="18" spans="1:22" ht="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5"/>
      <c r="O18" s="1"/>
      <c r="P18" s="1"/>
      <c r="Q18" s="1"/>
      <c r="R18" s="1"/>
      <c r="S18" s="1"/>
      <c r="T18" s="1"/>
      <c r="U18" s="1"/>
      <c r="V18" s="1"/>
    </row>
    <row r="19" spans="1:22" ht="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5"/>
      <c r="O19" s="1"/>
      <c r="P19" s="1"/>
      <c r="Q19" s="1"/>
      <c r="R19" s="1"/>
      <c r="S19" s="1"/>
      <c r="T19" s="1"/>
      <c r="U19" s="1"/>
      <c r="V19" s="1"/>
    </row>
    <row r="20" spans="1:22" ht="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3"/>
      <c r="O21" s="1"/>
      <c r="P21" s="1"/>
      <c r="Q21" s="1"/>
      <c r="R21" s="1"/>
      <c r="S21" s="1"/>
      <c r="T21" s="1"/>
      <c r="U21" s="1"/>
      <c r="V21" s="1"/>
    </row>
    <row r="22" spans="1:22" ht="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5"/>
      <c r="O22" s="1"/>
      <c r="P22" s="1"/>
      <c r="Q22" s="1"/>
      <c r="R22" s="1"/>
      <c r="S22" s="1"/>
      <c r="T22" s="1"/>
      <c r="U22" s="1"/>
      <c r="V22" s="1"/>
    </row>
    <row r="23" spans="1:22" ht="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4"/>
      <c r="O24" s="1"/>
      <c r="P24" s="1"/>
      <c r="Q24" s="1"/>
      <c r="R24" s="1"/>
      <c r="S24" s="1"/>
      <c r="T24" s="1"/>
      <c r="U24" s="1"/>
      <c r="V24" s="1"/>
    </row>
    <row r="25" spans="1:22" ht="15" x14ac:dyDescent="0.25">
      <c r="A25" s="1"/>
      <c r="B25" s="1"/>
      <c r="C25" s="1"/>
      <c r="D25" s="1"/>
      <c r="E25" s="1"/>
      <c r="F25" s="1"/>
      <c r="G25" s="1"/>
      <c r="H25" s="1"/>
      <c r="I25" s="7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" x14ac:dyDescent="0.25">
      <c r="A26" s="1"/>
      <c r="B26" s="1"/>
      <c r="C26" s="1"/>
      <c r="D26" s="1"/>
      <c r="E26" s="1"/>
      <c r="F26" s="1"/>
      <c r="G26" s="1"/>
      <c r="H26" s="1"/>
      <c r="I26" s="6"/>
      <c r="J26" s="1"/>
      <c r="K26" s="1"/>
      <c r="L26" s="1"/>
      <c r="M26" s="1"/>
      <c r="N26" s="3"/>
      <c r="O26" s="1"/>
      <c r="P26" s="1"/>
      <c r="Q26" s="1"/>
      <c r="R26" s="1"/>
      <c r="S26" s="1"/>
      <c r="T26" s="1"/>
      <c r="U26" s="1"/>
      <c r="V26" s="1"/>
    </row>
    <row r="27" spans="1:22" ht="15" x14ac:dyDescent="0.25">
      <c r="A27" s="1"/>
      <c r="B27" s="2"/>
      <c r="C27" s="2"/>
      <c r="D27" s="2"/>
      <c r="E27" s="1"/>
      <c r="F27" s="1"/>
      <c r="G27" s="1"/>
      <c r="H27" s="1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" x14ac:dyDescent="0.25">
      <c r="A28" s="1"/>
      <c r="B28" s="2"/>
      <c r="C28" s="2"/>
      <c r="D28" s="2"/>
      <c r="E28" s="1"/>
      <c r="F28" s="1"/>
      <c r="G28" s="1"/>
      <c r="H28" s="1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" x14ac:dyDescent="0.25">
      <c r="A29" s="1"/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5"/>
      <c r="O29" s="1"/>
      <c r="P29" s="1"/>
      <c r="Q29" s="1"/>
      <c r="R29" s="1"/>
      <c r="S29" s="1"/>
      <c r="T29" s="1"/>
      <c r="U29" s="1"/>
      <c r="V29" s="1"/>
    </row>
    <row r="30" spans="1:22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5"/>
      <c r="O30" s="1"/>
      <c r="P30" s="1"/>
      <c r="Q30" s="1"/>
      <c r="R30" s="1"/>
      <c r="S30" s="1"/>
      <c r="T30" s="1"/>
      <c r="U30" s="1"/>
      <c r="V30" s="1"/>
    </row>
    <row r="31" spans="1:22" ht="15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5"/>
      <c r="O31" s="1"/>
      <c r="P31" s="1"/>
      <c r="Q31" s="1"/>
      <c r="R31" s="1"/>
      <c r="S31" s="1"/>
      <c r="T31" s="1"/>
      <c r="U31" s="1"/>
      <c r="V31" s="1"/>
    </row>
    <row r="32" spans="1:22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5"/>
      <c r="O32" s="1"/>
      <c r="P32" s="1"/>
      <c r="Q32" s="1"/>
      <c r="R32" s="1"/>
      <c r="S32" s="1"/>
      <c r="T32" s="1"/>
      <c r="U32" s="1"/>
      <c r="V32" s="1"/>
    </row>
    <row r="33" spans="1:22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"/>
      <c r="O34" s="1"/>
      <c r="P34" s="1"/>
      <c r="Q34" s="1"/>
      <c r="R34" s="1"/>
      <c r="S34" s="1"/>
      <c r="T34" s="1"/>
      <c r="U34" s="1"/>
      <c r="V34" s="1"/>
    </row>
    <row r="35" spans="1:22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5"/>
      <c r="O35" s="1"/>
      <c r="P35" s="1"/>
      <c r="Q35" s="1"/>
      <c r="R35" s="1"/>
      <c r="S35" s="1"/>
      <c r="T35" s="1"/>
      <c r="U35" s="1"/>
      <c r="V35" s="1"/>
    </row>
    <row r="36" spans="1:22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4"/>
      <c r="O37" s="1"/>
      <c r="P37" s="1"/>
      <c r="Q37" s="1"/>
      <c r="R37" s="1"/>
      <c r="S37" s="1"/>
      <c r="T37" s="1"/>
      <c r="U37" s="1"/>
      <c r="V37" s="1"/>
    </row>
    <row r="38" spans="1:22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"/>
      <c r="O39" s="1"/>
      <c r="P39" s="1"/>
      <c r="Q39" s="1"/>
      <c r="R39" s="1"/>
      <c r="S39" s="1"/>
      <c r="T39" s="1"/>
      <c r="U39" s="1"/>
      <c r="V39" s="1"/>
    </row>
    <row r="40" spans="1:22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1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1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1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1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1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1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1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1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1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1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1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1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1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1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1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1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1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1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1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1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1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1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1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1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1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1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1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1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1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1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1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1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1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1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1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1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1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1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1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1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1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1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1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1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1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1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1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1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1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1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1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1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1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1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1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1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1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1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1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1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1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1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1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1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1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1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1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1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1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1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1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1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1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1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1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1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1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1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1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1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1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1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1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1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1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1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1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1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1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1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1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1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1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1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1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1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1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1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1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1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1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1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1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1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1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1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1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1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1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1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1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1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1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1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1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1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1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1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1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1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1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1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1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1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1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1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1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1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1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1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1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1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1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1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1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1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1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1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1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1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1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1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1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1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1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1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1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1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1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1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1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1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1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1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1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1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1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1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1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1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1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1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1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1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1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1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1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1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1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1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1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1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1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1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1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1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1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1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1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1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1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1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1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1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1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1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1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1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1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1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1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1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1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1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1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1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1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1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1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1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1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1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1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1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1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1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1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1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1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1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1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1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1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1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1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1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1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1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1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1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1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1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1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1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1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1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1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1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1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1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1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1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1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1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1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1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1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1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1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1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1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1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1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1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1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1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1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1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1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1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1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1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1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1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1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1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1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1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1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1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1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1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1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1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1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1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1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1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1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1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1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1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1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1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1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1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1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1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1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1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1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1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1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1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1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1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1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1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1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1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1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1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1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1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1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1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1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1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1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1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1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1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1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1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1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1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1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1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1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1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1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1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1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1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1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1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1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1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1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1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1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1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1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1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1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1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1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1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1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1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1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1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1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1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1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1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1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1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1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1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1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1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1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1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1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1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1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1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1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1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1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1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1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1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1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1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1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1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1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1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1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1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1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1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1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1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1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1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1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1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1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1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1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1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1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1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1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1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1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1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1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1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1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1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1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1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1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1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1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1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1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1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1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1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1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1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1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1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1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1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1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1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1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1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1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1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1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1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1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1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1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1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1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1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1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1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1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1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1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1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1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1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1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1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1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1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1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1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1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1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1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1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1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1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1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1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1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1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1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1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1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1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1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1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1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1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1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1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1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1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1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1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1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1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1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1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1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1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1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1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1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1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1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1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1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1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1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1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1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1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1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1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1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1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1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1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1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1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1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1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1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1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1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1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1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1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1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1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1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1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1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1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1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1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1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1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1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1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1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1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1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1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1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1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1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1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1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1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1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1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1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1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1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1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1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1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1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1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1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1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1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1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1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1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1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1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1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1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1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1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1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1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1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1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1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1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1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1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1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1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1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1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1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1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1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1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spans="1:22" ht="15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spans="1:22" ht="15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spans="1:22" ht="15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spans="1:22" ht="15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 spans="1:22" ht="15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</sheetData>
  <mergeCells count="3">
    <mergeCell ref="A4:A5"/>
    <mergeCell ref="A6:A8"/>
    <mergeCell ref="A9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STRINGERS_&amp;_EDGE_REINFORCEMENTS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2026-03-17T16:05:47Z</dcterms:created>
  <dcterms:modified xsi:type="dcterms:W3CDTF">2026-03-17T16:06:03Z</dcterms:modified>
</cp:coreProperties>
</file>