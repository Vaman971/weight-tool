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8767C73B-A1FC-4D51-89D3-44B6B9597381}" xr6:coauthVersionLast="47" xr6:coauthVersionMax="47" xr10:uidLastSave="{00000000-0000-0000-0000-000000000000}"/>
  <bookViews>
    <workbookView xWindow="-108" yWindow="-108" windowWidth="23256" windowHeight="12456" xr2:uid="{B0F371E2-B319-42C4-8A79-375746DC6A52}"/>
  </bookViews>
  <sheets>
    <sheet name="DOOR_LINTEL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Q4" i="1"/>
  <c r="S4" i="1"/>
  <c r="C4" i="1" s="1"/>
  <c r="D5" i="1"/>
  <c r="E5" i="1"/>
  <c r="F5" i="1"/>
  <c r="G5" i="1"/>
  <c r="H5" i="1"/>
  <c r="I5" i="1"/>
  <c r="J5" i="1"/>
  <c r="K5" i="1"/>
  <c r="L5" i="1"/>
  <c r="M5" i="1"/>
  <c r="N5" i="1"/>
  <c r="O5" i="1"/>
  <c r="Q5" i="1"/>
  <c r="S5" i="1"/>
  <c r="C5" i="1" s="1"/>
  <c r="D6" i="1"/>
  <c r="E6" i="1"/>
  <c r="F6" i="1"/>
  <c r="G6" i="1"/>
  <c r="H6" i="1"/>
  <c r="I6" i="1"/>
  <c r="M6" i="1"/>
  <c r="N6" i="1"/>
  <c r="O6" i="1"/>
  <c r="Q6" i="1"/>
  <c r="S6" i="1"/>
  <c r="C6" i="1" s="1"/>
  <c r="D7" i="1"/>
  <c r="E7" i="1"/>
  <c r="F7" i="1"/>
  <c r="J7" i="1"/>
  <c r="K7" i="1"/>
  <c r="L7" i="1"/>
  <c r="M7" i="1"/>
  <c r="N7" i="1"/>
  <c r="O7" i="1"/>
  <c r="Q7" i="1"/>
  <c r="S7" i="1"/>
  <c r="C7" i="1" s="1"/>
  <c r="D8" i="1"/>
  <c r="G8" i="1"/>
  <c r="H8" i="1"/>
  <c r="I8" i="1"/>
  <c r="J8" i="1"/>
  <c r="K8" i="1"/>
  <c r="L8" i="1"/>
  <c r="M8" i="1"/>
  <c r="Q8" i="1"/>
  <c r="S8" i="1"/>
  <c r="C8" i="1" s="1"/>
  <c r="D9" i="1"/>
  <c r="G9" i="1"/>
  <c r="H9" i="1"/>
  <c r="I9" i="1"/>
  <c r="J9" i="1"/>
  <c r="K9" i="1"/>
  <c r="L9" i="1"/>
  <c r="M9" i="1"/>
  <c r="Q9" i="1"/>
  <c r="S9" i="1"/>
  <c r="C9" i="1" s="1"/>
  <c r="D10" i="1"/>
  <c r="G10" i="1"/>
  <c r="H10" i="1"/>
  <c r="I10" i="1"/>
  <c r="J10" i="1"/>
  <c r="K10" i="1"/>
  <c r="L10" i="1"/>
  <c r="M10" i="1"/>
  <c r="Q10" i="1"/>
  <c r="S10" i="1"/>
  <c r="C10" i="1" s="1"/>
</calcChain>
</file>

<file path=xl/sharedStrings.xml><?xml version="1.0" encoding="utf-8"?>
<sst xmlns="http://schemas.openxmlformats.org/spreadsheetml/2006/main" count="36" uniqueCount="36">
  <si>
    <t>INTERNAL_RIB_3</t>
  </si>
  <si>
    <t>INTERNAL_RIB_2</t>
  </si>
  <si>
    <t>INTERNAL_RIB_1</t>
  </si>
  <si>
    <t>BTM_PANEL</t>
  </si>
  <si>
    <t>TOP_PANEL</t>
  </si>
  <si>
    <t>WEB_2</t>
  </si>
  <si>
    <t>WEB_1</t>
  </si>
  <si>
    <t>PAX_DOOR_LINTEL</t>
  </si>
  <si>
    <t>Volume (mm^3)</t>
  </si>
  <si>
    <t>Area (mm^2)</t>
  </si>
  <si>
    <t>T2</t>
  </si>
  <si>
    <t>Thickness</t>
  </si>
  <si>
    <t>Z4</t>
  </si>
  <si>
    <t>Y4</t>
  </si>
  <si>
    <t>X4</t>
  </si>
  <si>
    <t>Z3</t>
  </si>
  <si>
    <t>Y3</t>
  </si>
  <si>
    <t>X3</t>
  </si>
  <si>
    <t>Z2</t>
  </si>
  <si>
    <t>Y2</t>
  </si>
  <si>
    <t>X2</t>
  </si>
  <si>
    <t>Z1</t>
  </si>
  <si>
    <t>Y1</t>
  </si>
  <si>
    <t>X1</t>
  </si>
  <si>
    <t>Mass</t>
  </si>
  <si>
    <t>Title</t>
  </si>
  <si>
    <t>Dimensions = mm</t>
  </si>
  <si>
    <t>= to correct non-planarity of MGY coordinates measured directly from CATIA</t>
  </si>
  <si>
    <t>manual</t>
  </si>
  <si>
    <t>SYM</t>
  </si>
  <si>
    <t>Mass = grammes</t>
  </si>
  <si>
    <t>Units are:</t>
  </si>
  <si>
    <t>g/cm^3</t>
  </si>
  <si>
    <t>Density =</t>
  </si>
  <si>
    <t>(Purpose = Define PAX DOOR LINTEL)</t>
  </si>
  <si>
    <t>DOOR_LINTEL_PRIMITIVES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</si>
</sst>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name val="Arial"/>
      <family val="2"/>
    </font>
    <font>
      <sz val="13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12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2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quotePrefix="1" applyFont="1" applyAlignment="1">
      <alignment horizontal="left"/>
    </xf>
    <xf numFmtId="0" fontId="8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164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center"/>
    </xf>
    <xf numFmtId="165" fontId="10" fillId="0" borderId="0" xfId="0" applyNumberFormat="1" applyFont="1"/>
    <xf numFmtId="165" fontId="10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GEOMETRY_PROCESSING.xlsx" TargetMode="External"/><Relationship Id="rId1" Type="http://schemas.openxmlformats.org/officeDocument/2006/relationships/externalLinkPath" Target="GEOMETRY_PROCESS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METRY_PROCESSING"/>
    </sheetNames>
    <sheetDataSet>
      <sheetData sheetId="0">
        <row r="6">
          <cell r="B6">
            <v>1037.8</v>
          </cell>
          <cell r="C6">
            <v>1658.1</v>
          </cell>
        </row>
        <row r="8">
          <cell r="I8">
            <v>1216.7</v>
          </cell>
          <cell r="J8">
            <v>1434.6</v>
          </cell>
        </row>
        <row r="119">
          <cell r="C119">
            <v>38624.400000000001</v>
          </cell>
          <cell r="F119">
            <v>39604.400000000001</v>
          </cell>
        </row>
        <row r="120">
          <cell r="C120">
            <v>38624.400000000001</v>
          </cell>
          <cell r="D120">
            <v>1097.8805525820135</v>
          </cell>
          <cell r="E120">
            <v>1432.9206934602169</v>
          </cell>
          <cell r="F120">
            <v>39604.400000000001</v>
          </cell>
          <cell r="G120">
            <v>1010.238532807185</v>
          </cell>
          <cell r="H120">
            <v>1462.0067961115831</v>
          </cell>
        </row>
        <row r="121">
          <cell r="D121">
            <v>1141.5279380268596</v>
          </cell>
          <cell r="E121">
            <v>1391.7514604842547</v>
          </cell>
          <cell r="G121">
            <v>1051.8553061747486</v>
          </cell>
          <cell r="H121">
            <v>1418.7859195069507</v>
          </cell>
        </row>
        <row r="122">
          <cell r="D122">
            <v>1185.3649339031813</v>
          </cell>
          <cell r="E122">
            <v>1350.7841833897326</v>
          </cell>
          <cell r="G122">
            <v>1095.4268126337993</v>
          </cell>
          <cell r="H122">
            <v>1377.5363882988399</v>
          </cell>
        </row>
        <row r="123">
          <cell r="C123">
            <v>38624.400000000001</v>
          </cell>
          <cell r="F123">
            <v>39604.400000000001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6">
          <cell r="O6">
            <v>38624.400000000001</v>
          </cell>
        </row>
        <row r="9">
          <cell r="C9">
            <v>38624.400000000001</v>
          </cell>
        </row>
        <row r="10">
          <cell r="C10">
            <v>39604.400000000001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3A5D-C5B8-410E-9853-63A9A5218546}">
  <sheetPr>
    <outlinePr summaryBelow="0" summaryRight="0"/>
  </sheetPr>
  <dimension ref="A1:T790"/>
  <sheetViews>
    <sheetView tabSelected="1" workbookViewId="0">
      <pane ySplit="3" topLeftCell="A4" activePane="bottomLeft" state="frozen"/>
      <selection pane="bottomLeft" sqref="A1:XFD1"/>
    </sheetView>
  </sheetViews>
  <sheetFormatPr defaultColWidth="12.6640625" defaultRowHeight="15.75" customHeight="1" x14ac:dyDescent="0.25"/>
  <cols>
    <col min="1" max="1" width="25.77734375" customWidth="1"/>
    <col min="2" max="2" width="35.33203125" customWidth="1"/>
    <col min="10" max="12" width="14.77734375" customWidth="1"/>
    <col min="13" max="13" width="13.44140625" customWidth="1"/>
    <col min="18" max="19" width="15.33203125" customWidth="1"/>
  </cols>
  <sheetData>
    <row r="1" spans="1:20" ht="15.75" customHeight="1" x14ac:dyDescent="0.3">
      <c r="A1" s="1"/>
      <c r="B1" s="4" t="s">
        <v>35</v>
      </c>
      <c r="C1" s="29" t="s">
        <v>34</v>
      </c>
      <c r="D1" s="28"/>
      <c r="E1" s="28"/>
      <c r="F1" s="28"/>
      <c r="G1" s="26" t="s">
        <v>33</v>
      </c>
      <c r="H1" s="27">
        <v>2.83</v>
      </c>
      <c r="I1" s="26" t="s">
        <v>32</v>
      </c>
      <c r="J1" s="25" t="s">
        <v>31</v>
      </c>
      <c r="K1" s="24" t="s">
        <v>30</v>
      </c>
      <c r="L1" s="19"/>
      <c r="M1" s="23" t="s">
        <v>29</v>
      </c>
      <c r="N1" s="23" t="b">
        <v>0</v>
      </c>
      <c r="O1" s="1"/>
      <c r="P1" s="22" t="s">
        <v>28</v>
      </c>
      <c r="Q1" s="21" t="s">
        <v>27</v>
      </c>
      <c r="R1" s="1"/>
      <c r="S1" s="1"/>
      <c r="T1" s="1"/>
    </row>
    <row r="2" spans="1:20" ht="15.75" customHeight="1" x14ac:dyDescent="0.3">
      <c r="A2" s="1"/>
      <c r="B2" s="1"/>
      <c r="C2" s="1"/>
      <c r="D2" s="1"/>
      <c r="E2" s="1"/>
      <c r="F2" s="1"/>
      <c r="G2" s="18"/>
      <c r="H2" s="18"/>
      <c r="I2" s="19"/>
      <c r="J2" s="18"/>
      <c r="K2" s="20" t="s">
        <v>26</v>
      </c>
      <c r="L2" s="19"/>
      <c r="M2" s="18"/>
      <c r="N2" s="1"/>
      <c r="O2" s="1"/>
      <c r="P2" s="1"/>
      <c r="Q2" s="1"/>
      <c r="R2" s="1"/>
      <c r="S2" s="1"/>
      <c r="T2" s="1"/>
    </row>
    <row r="3" spans="1:20" ht="15.75" customHeight="1" x14ac:dyDescent="0.3">
      <c r="A3" s="1"/>
      <c r="B3" s="17" t="s">
        <v>25</v>
      </c>
      <c r="C3" s="17" t="s">
        <v>24</v>
      </c>
      <c r="D3" s="17" t="s">
        <v>23</v>
      </c>
      <c r="E3" s="17" t="s">
        <v>22</v>
      </c>
      <c r="F3" s="17" t="s">
        <v>21</v>
      </c>
      <c r="G3" s="16" t="s">
        <v>20</v>
      </c>
      <c r="H3" s="16" t="s">
        <v>19</v>
      </c>
      <c r="I3" s="16" t="s">
        <v>18</v>
      </c>
      <c r="J3" s="15" t="s">
        <v>17</v>
      </c>
      <c r="K3" s="15" t="s">
        <v>16</v>
      </c>
      <c r="L3" s="15" t="s">
        <v>15</v>
      </c>
      <c r="M3" s="14" t="s">
        <v>14</v>
      </c>
      <c r="N3" s="14" t="s">
        <v>13</v>
      </c>
      <c r="O3" s="14" t="s">
        <v>12</v>
      </c>
      <c r="P3" s="13" t="s">
        <v>11</v>
      </c>
      <c r="Q3" s="13" t="s">
        <v>10</v>
      </c>
      <c r="R3" s="12" t="s">
        <v>9</v>
      </c>
      <c r="S3" s="12" t="s">
        <v>8</v>
      </c>
      <c r="T3" s="1"/>
    </row>
    <row r="4" spans="1:20" ht="15" x14ac:dyDescent="0.25">
      <c r="A4" s="11" t="s">
        <v>7</v>
      </c>
      <c r="B4" s="6" t="s">
        <v>6</v>
      </c>
      <c r="C4" s="6">
        <f>S4*0.00283</f>
        <v>266.12541913008005</v>
      </c>
      <c r="D4" s="7">
        <f>[2]INPUTS!C9</f>
        <v>38624.400000000001</v>
      </c>
      <c r="E4" s="7">
        <f>[1]GEOMETRY_PROCESSING!D121</f>
        <v>1141.5279380268596</v>
      </c>
      <c r="F4" s="7">
        <f>[1]GEOMETRY_PROCESSING!E121</f>
        <v>1391.7514604842547</v>
      </c>
      <c r="G4" s="7">
        <f>[2]INPUTS!C9</f>
        <v>38624.400000000001</v>
      </c>
      <c r="H4" s="7">
        <f>[1]GEOMETRY_PROCESSING!D120</f>
        <v>1097.8805525820135</v>
      </c>
      <c r="I4" s="7">
        <f>[1]GEOMETRY_PROCESSING!E120</f>
        <v>1432.9206934602169</v>
      </c>
      <c r="J4" s="7">
        <f>[2]INPUTS!C10</f>
        <v>39604.400000000001</v>
      </c>
      <c r="K4" s="7">
        <f>[1]GEOMETRY_PROCESSING!G120</f>
        <v>1010.238532807185</v>
      </c>
      <c r="L4" s="7">
        <f>[1]GEOMETRY_PROCESSING!H120</f>
        <v>1462.0067961115831</v>
      </c>
      <c r="M4" s="8">
        <v>39604.5</v>
      </c>
      <c r="N4" s="8">
        <v>1053.8</v>
      </c>
      <c r="O4" s="8">
        <v>1420.9</v>
      </c>
      <c r="P4" s="7">
        <v>1.6</v>
      </c>
      <c r="Q4" s="7">
        <f>P4</f>
        <v>1.6</v>
      </c>
      <c r="R4" s="6">
        <v>58773.281609999998</v>
      </c>
      <c r="S4" s="6">
        <f>R4*P4</f>
        <v>94037.250576000006</v>
      </c>
      <c r="T4" s="1"/>
    </row>
    <row r="5" spans="1:20" ht="15" x14ac:dyDescent="0.25">
      <c r="A5" s="10"/>
      <c r="B5" s="6" t="s">
        <v>5</v>
      </c>
      <c r="C5" s="6">
        <f>S5*0.00283</f>
        <v>266.60020723392</v>
      </c>
      <c r="D5" s="7">
        <f>[2]INPUTS!C9</f>
        <v>38624.400000000001</v>
      </c>
      <c r="E5" s="7">
        <f>[1]GEOMETRY_PROCESSING!D121</f>
        <v>1141.5279380268596</v>
      </c>
      <c r="F5" s="7">
        <f>[1]GEOMETRY_PROCESSING!E121</f>
        <v>1391.7514604842547</v>
      </c>
      <c r="G5" s="7">
        <f>[2]INPUTS!C9</f>
        <v>38624.400000000001</v>
      </c>
      <c r="H5" s="7">
        <f>[1]GEOMETRY_PROCESSING!D122</f>
        <v>1185.3649339031813</v>
      </c>
      <c r="I5" s="7">
        <f>[1]GEOMETRY_PROCESSING!E122</f>
        <v>1350.7841833897326</v>
      </c>
      <c r="J5" s="7">
        <f>[2]INPUTS!C10</f>
        <v>39604.400000000001</v>
      </c>
      <c r="K5" s="7">
        <f>[1]GEOMETRY_PROCESSING!G122</f>
        <v>1095.4268126337993</v>
      </c>
      <c r="L5" s="7">
        <f>[1]GEOMETRY_PROCESSING!H122</f>
        <v>1377.5363882988399</v>
      </c>
      <c r="M5" s="7">
        <f>[2]INPUTS!C10</f>
        <v>39604.400000000001</v>
      </c>
      <c r="N5" s="7">
        <f>[1]GEOMETRY_PROCESSING!G121</f>
        <v>1051.8553061747486</v>
      </c>
      <c r="O5" s="7">
        <f>[1]GEOMETRY_PROCESSING!H121</f>
        <v>1418.7859195069507</v>
      </c>
      <c r="P5" s="7">
        <v>-1.6</v>
      </c>
      <c r="Q5" s="7">
        <f>P5</f>
        <v>-1.6</v>
      </c>
      <c r="R5" s="6">
        <v>58878.137640000001</v>
      </c>
      <c r="S5" s="6">
        <f>-R5*P5</f>
        <v>94205.020224000007</v>
      </c>
      <c r="T5" s="1"/>
    </row>
    <row r="6" spans="1:20" ht="15.75" customHeight="1" x14ac:dyDescent="0.3">
      <c r="A6" s="10"/>
      <c r="B6" s="6" t="s">
        <v>4</v>
      </c>
      <c r="C6" s="6">
        <f>S6*0.00283</f>
        <v>1468.0626040024999</v>
      </c>
      <c r="D6" s="7">
        <f>[2]INPUTS!C9</f>
        <v>38624.400000000001</v>
      </c>
      <c r="E6" s="7">
        <f>[1]GEOMETRY_PROCESSING!D120</f>
        <v>1097.8805525820135</v>
      </c>
      <c r="F6" s="7">
        <f>[1]GEOMETRY_PROCESSING!E120</f>
        <v>1432.9206934602169</v>
      </c>
      <c r="G6" s="7">
        <f>[2]INPUTS!C9</f>
        <v>38624.400000000001</v>
      </c>
      <c r="H6" s="7">
        <f>[1]GEOMETRY_PROCESSING!B6</f>
        <v>1037.8</v>
      </c>
      <c r="I6" s="7">
        <f>[1]GEOMETRY_PROCESSING!C6</f>
        <v>1658.1</v>
      </c>
      <c r="J6" s="8">
        <v>39601.800000000003</v>
      </c>
      <c r="K6" s="8">
        <v>961.5</v>
      </c>
      <c r="L6" s="8">
        <v>1645.2</v>
      </c>
      <c r="M6" s="7">
        <f>[2]INPUTS!C10</f>
        <v>39604.400000000001</v>
      </c>
      <c r="N6" s="7">
        <f>[1]GEOMETRY_PROCESSING!G120</f>
        <v>1010.238532807185</v>
      </c>
      <c r="O6" s="7">
        <f>[1]GEOMETRY_PROCESSING!H120</f>
        <v>1462.0067961115831</v>
      </c>
      <c r="P6" s="7">
        <v>2.5</v>
      </c>
      <c r="Q6" s="7">
        <f>P6</f>
        <v>2.5</v>
      </c>
      <c r="R6" s="6">
        <v>207500.0147</v>
      </c>
      <c r="S6" s="6">
        <f>R6*P6</f>
        <v>518750.03674999997</v>
      </c>
      <c r="T6" s="5"/>
    </row>
    <row r="7" spans="1:20" ht="15" x14ac:dyDescent="0.25">
      <c r="A7" s="10"/>
      <c r="B7" s="6" t="s">
        <v>3</v>
      </c>
      <c r="C7" s="6">
        <f>S7*0.00283</f>
        <v>882.42598536750006</v>
      </c>
      <c r="D7" s="7">
        <f>[2]INPUTS!C9</f>
        <v>38624.400000000001</v>
      </c>
      <c r="E7" s="7">
        <f>[1]GEOMETRY_PROCESSING!D122</f>
        <v>1185.3649339031813</v>
      </c>
      <c r="F7" s="7">
        <f>[1]GEOMETRY_PROCESSING!E122</f>
        <v>1350.7841833897326</v>
      </c>
      <c r="G7" s="8">
        <v>38626.699999999997</v>
      </c>
      <c r="H7" s="8">
        <v>1294</v>
      </c>
      <c r="I7" s="8">
        <v>1402.1</v>
      </c>
      <c r="J7" s="7">
        <f>[2]INPUTS!C10</f>
        <v>39604.400000000001</v>
      </c>
      <c r="K7" s="7">
        <f>[1]GEOMETRY_PROCESSING!I8</f>
        <v>1216.7</v>
      </c>
      <c r="L7" s="7">
        <f>[1]GEOMETRY_PROCESSING!J8</f>
        <v>1434.6</v>
      </c>
      <c r="M7" s="7">
        <f>[2]INPUTS!C10</f>
        <v>39604.400000000001</v>
      </c>
      <c r="N7" s="7">
        <f>[1]GEOMETRY_PROCESSING!G122</f>
        <v>1095.4268126337993</v>
      </c>
      <c r="O7" s="7">
        <f>[1]GEOMETRY_PROCESSING!H122</f>
        <v>1377.5363882988399</v>
      </c>
      <c r="P7" s="7">
        <v>-2.5</v>
      </c>
      <c r="Q7" s="7">
        <f>P7</f>
        <v>-2.5</v>
      </c>
      <c r="R7" s="6">
        <v>124724.5209</v>
      </c>
      <c r="S7" s="6">
        <f>-R7*P7</f>
        <v>311811.30225000001</v>
      </c>
      <c r="T7" s="1"/>
    </row>
    <row r="8" spans="1:20" ht="15" x14ac:dyDescent="0.25">
      <c r="A8" s="10"/>
      <c r="B8" s="6" t="s">
        <v>2</v>
      </c>
      <c r="C8" s="6">
        <f>S8*0.00283</f>
        <v>309.98337079999999</v>
      </c>
      <c r="D8" s="7">
        <f>([1]GEOMETRY_PROCESSING!F119-[1]GEOMETRY_PROCESSING!C119)/4+[1]GEOMETRY_PROCESSING!C119</f>
        <v>38869.4</v>
      </c>
      <c r="E8" s="8">
        <v>1018.7</v>
      </c>
      <c r="F8" s="8">
        <v>1654.9</v>
      </c>
      <c r="G8" s="7">
        <f>([1]GEOMETRY_PROCESSING!F120-[1]GEOMETRY_PROCESSING!C120)/4+[1]GEOMETRY_PROCESSING!C120</f>
        <v>38869.4</v>
      </c>
      <c r="H8" s="7">
        <f>([1]GEOMETRY_PROCESSING!G120-[1]GEOMETRY_PROCESSING!D120)/4+[1]GEOMETRY_PROCESSING!D120</f>
        <v>1075.9700476383064</v>
      </c>
      <c r="I8" s="7">
        <f>([1]GEOMETRY_PROCESSING!H120-[1]GEOMETRY_PROCESSING!E120)/4+[1]GEOMETRY_PROCESSING!E120</f>
        <v>1440.1922191230583</v>
      </c>
      <c r="J8" s="7">
        <f>([1]GEOMETRY_PROCESSING!F119-[1]GEOMETRY_PROCESSING!C119)/4+[1]GEOMETRY_PROCESSING!C119</f>
        <v>38869.4</v>
      </c>
      <c r="K8" s="7">
        <f>([1]GEOMETRY_PROCESSING!G122-[1]GEOMETRY_PROCESSING!D122)/4+[1]GEOMETRY_PROCESSING!D122</f>
        <v>1162.8804035858357</v>
      </c>
      <c r="L8" s="7">
        <f>([1]GEOMETRY_PROCESSING!H122-[1]GEOMETRY_PROCESSING!E122)/4+[1]GEOMETRY_PROCESSING!E122</f>
        <v>1357.4722346170095</v>
      </c>
      <c r="M8" s="7">
        <f>([1]GEOMETRY_PROCESSING!F123-[1]GEOMETRY_PROCESSING!C123)/4+[1]GEOMETRY_PROCESSING!C123</f>
        <v>38869.4</v>
      </c>
      <c r="N8" s="8">
        <v>1274.7</v>
      </c>
      <c r="O8" s="8">
        <v>1410.2</v>
      </c>
      <c r="P8" s="7">
        <v>4</v>
      </c>
      <c r="Q8" s="7">
        <f>P8</f>
        <v>4</v>
      </c>
      <c r="R8" s="6">
        <v>27383.69</v>
      </c>
      <c r="S8" s="6">
        <f>R8*P8</f>
        <v>109534.76</v>
      </c>
      <c r="T8" s="1"/>
    </row>
    <row r="9" spans="1:20" ht="15" x14ac:dyDescent="0.25">
      <c r="A9" s="10"/>
      <c r="B9" s="6" t="s">
        <v>1</v>
      </c>
      <c r="C9" s="6">
        <f>S9*0.00283</f>
        <v>304.3116546</v>
      </c>
      <c r="D9" s="7">
        <f>([1]GEOMETRY_PROCESSING!F119-[1]GEOMETRY_PROCESSING!C119)/2+[1]GEOMETRY_PROCESSING!C119</f>
        <v>39114.400000000001</v>
      </c>
      <c r="E9" s="8">
        <v>999.7</v>
      </c>
      <c r="F9" s="8">
        <v>1651.7</v>
      </c>
      <c r="G9" s="7">
        <f>([1]GEOMETRY_PROCESSING!F120-[1]GEOMETRY_PROCESSING!C120)/2+[1]GEOMETRY_PROCESSING!C120</f>
        <v>39114.400000000001</v>
      </c>
      <c r="H9" s="7">
        <f>([1]GEOMETRY_PROCESSING!G120-[1]GEOMETRY_PROCESSING!D120)/2+[1]GEOMETRY_PROCESSING!D120</f>
        <v>1054.0595426945993</v>
      </c>
      <c r="I9" s="7">
        <f>([1]GEOMETRY_PROCESSING!H120-[1]GEOMETRY_PROCESSING!E120)/2+[1]GEOMETRY_PROCESSING!E120</f>
        <v>1447.4637447859</v>
      </c>
      <c r="J9" s="7">
        <f>([1]GEOMETRY_PROCESSING!F119-[1]GEOMETRY_PROCESSING!C119)/2+[1]GEOMETRY_PROCESSING!C119</f>
        <v>39114.400000000001</v>
      </c>
      <c r="K9" s="7">
        <f>([1]GEOMETRY_PROCESSING!G122-[1]GEOMETRY_PROCESSING!D122)/2+[1]GEOMETRY_PROCESSING!D122</f>
        <v>1140.3958732684903</v>
      </c>
      <c r="L9" s="7">
        <f>([1]GEOMETRY_PROCESSING!H122-[1]GEOMETRY_PROCESSING!E122)/2+[1]GEOMETRY_PROCESSING!E122</f>
        <v>1364.1602858442861</v>
      </c>
      <c r="M9" s="7">
        <f>([1]GEOMETRY_PROCESSING!F123-[1]GEOMETRY_PROCESSING!C123)/2+[1]GEOMETRY_PROCESSING!C123</f>
        <v>39114.400000000001</v>
      </c>
      <c r="N9" s="8">
        <v>1255.4000000000001</v>
      </c>
      <c r="O9" s="8">
        <v>1418.3</v>
      </c>
      <c r="P9" s="7">
        <v>4</v>
      </c>
      <c r="Q9" s="7">
        <f>P9</f>
        <v>4</v>
      </c>
      <c r="R9" s="6">
        <v>26882.654999999999</v>
      </c>
      <c r="S9" s="6">
        <f>R9*P9</f>
        <v>107530.62</v>
      </c>
      <c r="T9" s="1"/>
    </row>
    <row r="10" spans="1:20" ht="15" x14ac:dyDescent="0.25">
      <c r="A10" s="9"/>
      <c r="B10" s="6" t="s">
        <v>0</v>
      </c>
      <c r="C10" s="6">
        <f>S10*0.00283</f>
        <v>298.57162219999998</v>
      </c>
      <c r="D10" s="7">
        <f>([1]GEOMETRY_PROCESSING!F119-[1]GEOMETRY_PROCESSING!C119)*0.75+[1]GEOMETRY_PROCESSING!C119</f>
        <v>39359.4</v>
      </c>
      <c r="E10" s="8">
        <v>980.6</v>
      </c>
      <c r="F10" s="8">
        <v>1648.5</v>
      </c>
      <c r="G10" s="7">
        <f>([1]GEOMETRY_PROCESSING!F120-[1]GEOMETRY_PROCESSING!C120)*0.75+[1]GEOMETRY_PROCESSING!C120</f>
        <v>39359.4</v>
      </c>
      <c r="H10" s="7">
        <f>([1]GEOMETRY_PROCESSING!G120-[1]GEOMETRY_PROCESSING!D120)*0.75+[1]GEOMETRY_PROCESSING!D120</f>
        <v>1032.1490377508921</v>
      </c>
      <c r="I10" s="7">
        <f>([1]GEOMETRY_PROCESSING!H120-[1]GEOMETRY_PROCESSING!E120)*0.75+[1]GEOMETRY_PROCESSING!E120</f>
        <v>1454.7352704487416</v>
      </c>
      <c r="J10" s="7">
        <f>([1]GEOMETRY_PROCESSING!F119-[1]GEOMETRY_PROCESSING!C119)*0.75+[1]GEOMETRY_PROCESSING!C119</f>
        <v>39359.4</v>
      </c>
      <c r="K10" s="7">
        <f>([1]GEOMETRY_PROCESSING!G122-[1]GEOMETRY_PROCESSING!D122)*0.75+[1]GEOMETRY_PROCESSING!D122</f>
        <v>1117.9113429511449</v>
      </c>
      <c r="L10" s="7">
        <f>([1]GEOMETRY_PROCESSING!H122-[1]GEOMETRY_PROCESSING!E122)*0.75+[1]GEOMETRY_PROCESSING!E122</f>
        <v>1370.848337071563</v>
      </c>
      <c r="M10" s="7">
        <f>([1]GEOMETRY_PROCESSING!F123-[1]GEOMETRY_PROCESSING!C123)*0.75+[1]GEOMETRY_PROCESSING!C123</f>
        <v>39359.4</v>
      </c>
      <c r="N10" s="8">
        <v>1236</v>
      </c>
      <c r="O10" s="8">
        <v>1426.5</v>
      </c>
      <c r="P10" s="7">
        <v>4</v>
      </c>
      <c r="Q10" s="7">
        <f>P10</f>
        <v>4</v>
      </c>
      <c r="R10" s="6">
        <v>26375.584999999999</v>
      </c>
      <c r="S10" s="6">
        <f>R10*P10</f>
        <v>105502.34</v>
      </c>
      <c r="T10" s="1"/>
    </row>
    <row r="11" spans="1:20" ht="15.75" customHeight="1" x14ac:dyDescent="0.3">
      <c r="A11" s="1"/>
      <c r="B11" s="5"/>
      <c r="C11" s="1"/>
      <c r="D11" s="1"/>
      <c r="E11" s="1"/>
      <c r="F11" s="1"/>
      <c r="G11" s="1"/>
      <c r="H11" s="1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"/>
      <c r="S12" s="1"/>
      <c r="T12" s="1"/>
    </row>
    <row r="13" spans="1:20" ht="15" x14ac:dyDescent="0.25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"/>
      <c r="Q13" s="1"/>
      <c r="R13" s="2"/>
      <c r="S13" s="1"/>
      <c r="T13" s="1"/>
    </row>
    <row r="14" spans="1:20" ht="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"/>
      <c r="S14" s="1"/>
      <c r="T14" s="1"/>
    </row>
    <row r="15" spans="1:20" ht="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2"/>
      <c r="S15" s="1"/>
      <c r="T15" s="1"/>
    </row>
    <row r="16" spans="1:20" ht="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2"/>
      <c r="S16" s="1"/>
      <c r="T16" s="1"/>
    </row>
    <row r="17" spans="1:20" ht="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"/>
      <c r="S17" s="1"/>
      <c r="T17" s="1"/>
    </row>
    <row r="18" spans="1:20" ht="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"/>
      <c r="S18" s="1"/>
      <c r="T18" s="1"/>
    </row>
    <row r="19" spans="1:20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</sheetData>
  <mergeCells count="1">
    <mergeCell ref="A4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DOOR_LINTEL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2026-03-17T15:55:38Z</dcterms:created>
  <dcterms:modified xsi:type="dcterms:W3CDTF">2026-03-17T15:55:59Z</dcterms:modified>
</cp:coreProperties>
</file>