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OMEN\Aman Dropbox\Aman verma\My PC (LAPTOP-UK6RT4E8)\Downloads\"/>
    </mc:Choice>
  </mc:AlternateContent>
  <xr:revisionPtr revIDLastSave="0" documentId="8_{D8F8D818-B777-446A-8681-88EF0D1318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OOR_SILL" sheetId="6" r:id="rId1"/>
  </sheets>
  <externalReferences>
    <externalReference r:id="rId2"/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2" i="6" l="1"/>
  <c r="Q12" i="6"/>
  <c r="O12" i="6"/>
  <c r="N12" i="6"/>
  <c r="M12" i="6"/>
  <c r="L12" i="6"/>
  <c r="K12" i="6"/>
  <c r="J12" i="6"/>
  <c r="I12" i="6"/>
  <c r="H12" i="6"/>
  <c r="G12" i="6"/>
  <c r="F12" i="6"/>
  <c r="E12" i="6"/>
  <c r="D12" i="6"/>
  <c r="C12" i="6"/>
  <c r="S11" i="6"/>
  <c r="O11" i="6"/>
  <c r="N11" i="6"/>
  <c r="M11" i="6"/>
  <c r="L11" i="6"/>
  <c r="K11" i="6"/>
  <c r="J11" i="6"/>
  <c r="I11" i="6"/>
  <c r="H11" i="6"/>
  <c r="G11" i="6"/>
  <c r="F11" i="6"/>
  <c r="E11" i="6"/>
  <c r="D11" i="6"/>
  <c r="C11" i="6"/>
  <c r="S10" i="6"/>
  <c r="C10" i="6" s="1"/>
  <c r="Q10" i="6"/>
  <c r="O10" i="6"/>
  <c r="N10" i="6"/>
  <c r="M10" i="6"/>
  <c r="L10" i="6"/>
  <c r="K10" i="6"/>
  <c r="J10" i="6"/>
  <c r="I10" i="6"/>
  <c r="H10" i="6"/>
  <c r="G10" i="6"/>
  <c r="F10" i="6"/>
  <c r="E10" i="6"/>
  <c r="D10" i="6"/>
  <c r="S9" i="6"/>
  <c r="Q9" i="6"/>
  <c r="O9" i="6"/>
  <c r="N9" i="6"/>
  <c r="M9" i="6"/>
  <c r="L9" i="6"/>
  <c r="K9" i="6"/>
  <c r="J9" i="6"/>
  <c r="I9" i="6"/>
  <c r="H9" i="6"/>
  <c r="G9" i="6"/>
  <c r="F9" i="6"/>
  <c r="E9" i="6"/>
  <c r="D9" i="6"/>
  <c r="C9" i="6"/>
  <c r="S8" i="6"/>
  <c r="C8" i="6" s="1"/>
  <c r="Q8" i="6"/>
  <c r="O8" i="6"/>
  <c r="N8" i="6"/>
  <c r="M8" i="6"/>
  <c r="L8" i="6"/>
  <c r="K8" i="6"/>
  <c r="J8" i="6"/>
  <c r="I8" i="6"/>
  <c r="H8" i="6"/>
  <c r="G8" i="6"/>
  <c r="F8" i="6"/>
  <c r="E8" i="6"/>
  <c r="D8" i="6"/>
  <c r="S7" i="6"/>
  <c r="Q7" i="6"/>
  <c r="O7" i="6"/>
  <c r="N7" i="6"/>
  <c r="M7" i="6"/>
  <c r="L7" i="6"/>
  <c r="K7" i="6"/>
  <c r="J7" i="6"/>
  <c r="I7" i="6"/>
  <c r="H7" i="6"/>
  <c r="G7" i="6"/>
  <c r="F7" i="6"/>
  <c r="E7" i="6"/>
  <c r="D7" i="6"/>
  <c r="C7" i="6"/>
  <c r="S6" i="6"/>
  <c r="C6" i="6" s="1"/>
  <c r="Q6" i="6"/>
  <c r="O6" i="6"/>
  <c r="N6" i="6"/>
  <c r="M6" i="6"/>
  <c r="L6" i="6"/>
  <c r="K6" i="6"/>
  <c r="J6" i="6"/>
  <c r="I6" i="6"/>
  <c r="H6" i="6"/>
  <c r="G6" i="6"/>
  <c r="F6" i="6"/>
  <c r="E6" i="6"/>
  <c r="D6" i="6"/>
  <c r="S5" i="6"/>
  <c r="Q5" i="6"/>
  <c r="O5" i="6"/>
  <c r="N5" i="6"/>
  <c r="M5" i="6"/>
  <c r="L5" i="6"/>
  <c r="K5" i="6"/>
  <c r="J5" i="6"/>
  <c r="I5" i="6"/>
  <c r="H5" i="6"/>
  <c r="G5" i="6"/>
  <c r="F5" i="6"/>
  <c r="E5" i="6"/>
  <c r="D5" i="6"/>
  <c r="C5" i="6"/>
</calcChain>
</file>

<file path=xl/sharedStrings.xml><?xml version="1.0" encoding="utf-8"?>
<sst xmlns="http://schemas.openxmlformats.org/spreadsheetml/2006/main" count="35" uniqueCount="35">
  <si>
    <t>Y2</t>
  </si>
  <si>
    <t>Z2</t>
  </si>
  <si>
    <t>Density =</t>
  </si>
  <si>
    <t>g/cm^3</t>
  </si>
  <si>
    <t>Units are:</t>
  </si>
  <si>
    <t>Mass = grammes</t>
  </si>
  <si>
    <t>SYM</t>
  </si>
  <si>
    <t>Dimensions = mm</t>
  </si>
  <si>
    <t>Title</t>
  </si>
  <si>
    <t>Mass</t>
  </si>
  <si>
    <t>X1</t>
  </si>
  <si>
    <t>Y1</t>
  </si>
  <si>
    <t>Z1</t>
  </si>
  <si>
    <t>X2</t>
  </si>
  <si>
    <t>X3</t>
  </si>
  <si>
    <t>Y3</t>
  </si>
  <si>
    <t>Z3</t>
  </si>
  <si>
    <t>X4</t>
  </si>
  <si>
    <t>Y4</t>
  </si>
  <si>
    <t>Z4</t>
  </si>
  <si>
    <t>Thickness</t>
  </si>
  <si>
    <t>T2</t>
  </si>
  <si>
    <t>Area (mm^2)</t>
  </si>
  <si>
    <t>Volume (mm^3)</t>
  </si>
  <si>
    <t>TOP_PANEL</t>
  </si>
  <si>
    <t>BTM_PANEL</t>
  </si>
  <si>
    <t>PAX_DOOR_SILL_PRIMITIVE_SHAPES</t>
  </si>
  <si>
    <t>(Purpose = Define PAX DOOR SILL)</t>
  </si>
  <si>
    <t>PAX_DOOR_SILL</t>
  </si>
  <si>
    <t>WEB</t>
  </si>
  <si>
    <t>INTERMEDIATE_FLANGE_1</t>
  </si>
  <si>
    <t>INTERMEDIATE_FLANGE_2</t>
  </si>
  <si>
    <t>HEAVY_FLANGE_OUTSIDE</t>
  </si>
  <si>
    <t>HEAVY_FLANGE_MID</t>
  </si>
  <si>
    <t>HEAVY_FLANGE_INSIDE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</si>
</sst>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1" x14ac:knownFonts="1">
    <font>
      <sz val="10"/>
      <color rgb="FF000000"/>
      <name val="Arial"/>
      <scheme val="minor"/>
    </font>
    <font>
      <sz val="12"/>
      <color rgb="FF000000"/>
      <name val="Arial"/>
      <family val="2"/>
      <scheme val="minor"/>
    </font>
    <font>
      <i/>
      <sz val="12"/>
      <color rgb="FFFF0000"/>
      <name val="Arial"/>
      <family val="2"/>
      <scheme val="minor"/>
    </font>
    <font>
      <b/>
      <sz val="12"/>
      <color rgb="FFFF0000"/>
      <name val="Arial"/>
      <family val="2"/>
      <scheme val="minor"/>
    </font>
    <font>
      <sz val="12"/>
      <color rgb="FFFF0000"/>
      <name val="Arial"/>
      <family val="2"/>
      <scheme val="minor"/>
    </font>
    <font>
      <sz val="10"/>
      <color rgb="FFFF0000"/>
      <name val="Arial"/>
      <family val="2"/>
      <scheme val="minor"/>
    </font>
    <font>
      <sz val="10"/>
      <name val="Arial"/>
      <family val="2"/>
    </font>
    <font>
      <i/>
      <sz val="12"/>
      <color rgb="FFFF0000"/>
      <name val="Arial"/>
      <family val="2"/>
    </font>
    <font>
      <sz val="13"/>
      <color rgb="FF000000"/>
      <name val="Arial"/>
      <family val="2"/>
      <scheme val="minor"/>
    </font>
    <font>
      <sz val="10"/>
      <color rgb="FFFF0000"/>
      <name val="Arial"/>
      <family val="2"/>
    </font>
    <font>
      <sz val="12"/>
      <color rgb="FF9900FF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164" fontId="1" fillId="0" borderId="1" xfId="0" applyNumberFormat="1" applyFont="1" applyBorder="1" applyAlignment="1">
      <alignment horizontal="left"/>
    </xf>
    <xf numFmtId="1" fontId="1" fillId="0" borderId="1" xfId="0" applyNumberFormat="1" applyFont="1" applyBorder="1" applyAlignment="1">
      <alignment horizontal="left"/>
    </xf>
    <xf numFmtId="0" fontId="5" fillId="0" borderId="0" xfId="0" applyFont="1"/>
    <xf numFmtId="0" fontId="3" fillId="2" borderId="1" xfId="0" applyFont="1" applyFill="1" applyBorder="1" applyAlignment="1">
      <alignment horizontal="left"/>
    </xf>
    <xf numFmtId="0" fontId="4" fillId="0" borderId="0" xfId="0" applyFont="1" applyAlignment="1">
      <alignment horizontal="left"/>
    </xf>
    <xf numFmtId="0" fontId="7" fillId="0" borderId="0" xfId="0" applyFont="1"/>
    <xf numFmtId="165" fontId="7" fillId="0" borderId="0" xfId="0" applyNumberFormat="1" applyFont="1"/>
    <xf numFmtId="165" fontId="7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left"/>
    </xf>
    <xf numFmtId="0" fontId="3" fillId="2" borderId="0" xfId="0" applyFont="1" applyFill="1" applyAlignment="1">
      <alignment horizontal="center"/>
    </xf>
    <xf numFmtId="0" fontId="9" fillId="0" borderId="0" xfId="0" applyFont="1"/>
    <xf numFmtId="0" fontId="3" fillId="0" borderId="0" xfId="0" applyFont="1" applyAlignment="1">
      <alignment horizontal="left"/>
    </xf>
    <xf numFmtId="0" fontId="3" fillId="5" borderId="1" xfId="0" applyFont="1" applyFill="1" applyBorder="1" applyAlignment="1">
      <alignment horizontal="left"/>
    </xf>
    <xf numFmtId="0" fontId="3" fillId="6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3" fillId="7" borderId="1" xfId="0" applyFont="1" applyFill="1" applyBorder="1" applyAlignment="1">
      <alignment horizontal="left"/>
    </xf>
    <xf numFmtId="1" fontId="4" fillId="0" borderId="0" xfId="0" applyNumberFormat="1" applyFont="1" applyAlignment="1">
      <alignment horizontal="left"/>
    </xf>
    <xf numFmtId="0" fontId="10" fillId="0" borderId="0" xfId="0" applyFont="1" applyAlignment="1">
      <alignment horizontal="left"/>
    </xf>
    <xf numFmtId="0" fontId="6" fillId="0" borderId="3" xfId="0" applyFont="1" applyBorder="1"/>
    <xf numFmtId="0" fontId="6" fillId="0" borderId="4" xfId="0" applyFont="1" applyBorder="1"/>
    <xf numFmtId="0" fontId="8" fillId="0" borderId="2" xfId="0" applyFont="1" applyBorder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MEN\Aman%20Dropbox\Aman%20verma\My%20PC%20(LAPTOP-UK6RT4E8)\Downloads\INPUTS.xlsx" TargetMode="External"/><Relationship Id="rId1" Type="http://schemas.openxmlformats.org/officeDocument/2006/relationships/externalLinkPath" Target="INPU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MEN\Aman%20Dropbox\Aman%20verma\My%20PC%20(LAPTOP-UK6RT4E8)\Downloads\GEOMETRY_PROCESSING.xlsx" TargetMode="External"/><Relationship Id="rId1" Type="http://schemas.openxmlformats.org/officeDocument/2006/relationships/externalLinkPath" Target="GEOMETRY_PROCESS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PUTS"/>
    </sheetNames>
    <sheetDataSet>
      <sheetData sheetId="0">
        <row r="6">
          <cell r="O6">
            <v>38624.400000000001</v>
          </cell>
        </row>
        <row r="9">
          <cell r="C9">
            <v>38624.400000000001</v>
          </cell>
        </row>
        <row r="10">
          <cell r="C10">
            <v>39604.400000000001</v>
          </cell>
        </row>
        <row r="12">
          <cell r="C12">
            <v>-508.5</v>
          </cell>
        </row>
        <row r="22">
          <cell r="P22">
            <v>1648.2</v>
          </cell>
          <cell r="U22">
            <v>1452.8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EOMETRY_PROCESSING"/>
    </sheetNames>
    <sheetDataSet>
      <sheetData sheetId="0">
        <row r="54">
          <cell r="D54" t="str">
            <v>Z</v>
          </cell>
        </row>
        <row r="55">
          <cell r="C55">
            <v>-111.8</v>
          </cell>
          <cell r="D55">
            <v>2393.1</v>
          </cell>
        </row>
        <row r="56">
          <cell r="C56">
            <v>-362.2</v>
          </cell>
          <cell r="D56">
            <v>2343.3000000000002</v>
          </cell>
        </row>
        <row r="57">
          <cell r="C57">
            <v>-591</v>
          </cell>
          <cell r="D57">
            <v>2275</v>
          </cell>
        </row>
        <row r="58">
          <cell r="C58">
            <v>-853.1</v>
          </cell>
          <cell r="D58">
            <v>2134.3000000000002</v>
          </cell>
        </row>
        <row r="59">
          <cell r="C59">
            <v>-1069.4000000000001</v>
          </cell>
          <cell r="D59">
            <v>1970.3</v>
          </cell>
        </row>
        <row r="60">
          <cell r="C60">
            <v>-1248.7</v>
          </cell>
          <cell r="D60">
            <v>1794</v>
          </cell>
        </row>
        <row r="61">
          <cell r="C61">
            <v>-1405.2</v>
          </cell>
          <cell r="D61">
            <v>1601</v>
          </cell>
        </row>
        <row r="62">
          <cell r="C62">
            <v>-1539.2</v>
          </cell>
          <cell r="D62">
            <v>1393.8</v>
          </cell>
        </row>
        <row r="63">
          <cell r="C63">
            <v>-1652.9</v>
          </cell>
          <cell r="D63">
            <v>1168.5</v>
          </cell>
        </row>
        <row r="64">
          <cell r="C64">
            <v>-1739.9</v>
          </cell>
          <cell r="D64">
            <v>934.4</v>
          </cell>
        </row>
        <row r="65">
          <cell r="C65">
            <v>-1798</v>
          </cell>
          <cell r="D65">
            <v>695</v>
          </cell>
        </row>
        <row r="66">
          <cell r="C66">
            <v>-1826.7</v>
          </cell>
          <cell r="D66">
            <v>450.1</v>
          </cell>
        </row>
        <row r="67">
          <cell r="C67">
            <v>-1827.4</v>
          </cell>
          <cell r="D67">
            <v>206.5</v>
          </cell>
        </row>
        <row r="68">
          <cell r="C68">
            <v>-1798.7</v>
          </cell>
          <cell r="D68">
            <v>-9.6999999999999993</v>
          </cell>
        </row>
        <row r="69">
          <cell r="C69">
            <v>-1751</v>
          </cell>
          <cell r="D69">
            <v>-208.5</v>
          </cell>
        </row>
        <row r="70">
          <cell r="C70">
            <v>-1670.5</v>
          </cell>
          <cell r="D70">
            <v>-432.6</v>
          </cell>
        </row>
        <row r="71">
          <cell r="C71">
            <v>-1565</v>
          </cell>
          <cell r="D71">
            <v>-646.9</v>
          </cell>
        </row>
        <row r="72">
          <cell r="C72">
            <v>-1436.2</v>
          </cell>
          <cell r="D72">
            <v>-848.8</v>
          </cell>
        </row>
        <row r="73">
          <cell r="C73">
            <v>-1286.2</v>
          </cell>
          <cell r="D73">
            <v>-1035.9000000000001</v>
          </cell>
        </row>
        <row r="74">
          <cell r="C74">
            <v>-1118.5999999999999</v>
          </cell>
          <cell r="D74">
            <v>-1203.3</v>
          </cell>
        </row>
        <row r="75">
          <cell r="C75">
            <v>-929.5</v>
          </cell>
          <cell r="D75">
            <v>-1346.6</v>
          </cell>
        </row>
        <row r="76">
          <cell r="C76">
            <v>-722.1</v>
          </cell>
          <cell r="D76">
            <v>-1463.3</v>
          </cell>
        </row>
        <row r="77">
          <cell r="C77">
            <v>-526.29999999999995</v>
          </cell>
          <cell r="D77">
            <v>-1542.4</v>
          </cell>
        </row>
        <row r="78">
          <cell r="C78">
            <v>-321.89999999999998</v>
          </cell>
          <cell r="D78">
            <v>-1597</v>
          </cell>
        </row>
        <row r="79">
          <cell r="C79">
            <v>-111.9</v>
          </cell>
          <cell r="D79">
            <v>-1625.3</v>
          </cell>
        </row>
      </sheetData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T793"/>
  <sheetViews>
    <sheetView tabSelected="1" workbookViewId="0">
      <pane ySplit="4" topLeftCell="A5" activePane="bottomLeft" state="frozen"/>
      <selection pane="bottomLeft" sqref="A1:XFD1"/>
    </sheetView>
  </sheetViews>
  <sheetFormatPr defaultColWidth="12.6640625" defaultRowHeight="15.75" customHeight="1" x14ac:dyDescent="0.25"/>
  <cols>
    <col min="1" max="1" width="25.77734375" customWidth="1"/>
    <col min="2" max="2" width="35.33203125" customWidth="1"/>
    <col min="10" max="12" width="14.77734375" customWidth="1"/>
    <col min="13" max="13" width="13.44140625" customWidth="1"/>
    <col min="18" max="18" width="15.109375" customWidth="1"/>
    <col min="19" max="19" width="15.77734375" customWidth="1"/>
  </cols>
  <sheetData>
    <row r="1" spans="1:20" ht="15.75" customHeight="1" x14ac:dyDescent="0.3">
      <c r="A1" s="15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</row>
    <row r="2" spans="1:20" ht="15.75" customHeight="1" x14ac:dyDescent="0.3">
      <c r="A2" s="7"/>
      <c r="B2" s="15" t="s">
        <v>26</v>
      </c>
      <c r="C2" s="2"/>
      <c r="D2" s="8" t="s">
        <v>27</v>
      </c>
      <c r="E2" s="14"/>
      <c r="F2" s="14"/>
      <c r="G2" s="14"/>
      <c r="H2" s="9" t="s">
        <v>2</v>
      </c>
      <c r="I2" s="10">
        <v>2.83</v>
      </c>
      <c r="J2" s="9" t="s">
        <v>3</v>
      </c>
      <c r="K2" s="11" t="s">
        <v>4</v>
      </c>
      <c r="L2" s="12" t="s">
        <v>5</v>
      </c>
      <c r="M2" s="5"/>
      <c r="N2" s="13" t="s">
        <v>6</v>
      </c>
      <c r="O2" s="13" t="b">
        <v>0</v>
      </c>
      <c r="P2" s="7"/>
      <c r="Q2" s="7"/>
      <c r="R2" s="7"/>
      <c r="S2" s="7"/>
      <c r="T2" s="7"/>
    </row>
    <row r="3" spans="1:20" ht="15.75" customHeight="1" x14ac:dyDescent="0.3">
      <c r="A3" s="7"/>
      <c r="B3" s="7"/>
      <c r="C3" s="7"/>
      <c r="D3" s="7"/>
      <c r="E3" s="7"/>
      <c r="F3" s="7"/>
      <c r="G3" s="7"/>
      <c r="H3" s="7"/>
      <c r="I3" s="7"/>
      <c r="J3" s="5"/>
      <c r="K3" s="7"/>
      <c r="L3" s="2" t="s">
        <v>7</v>
      </c>
      <c r="M3" s="7"/>
      <c r="N3" s="7"/>
      <c r="O3" s="7"/>
      <c r="P3" s="7"/>
      <c r="Q3" s="7"/>
      <c r="R3" s="7"/>
      <c r="S3" s="7"/>
      <c r="T3" s="7"/>
    </row>
    <row r="4" spans="1:20" ht="15.75" customHeight="1" x14ac:dyDescent="0.3">
      <c r="A4" s="7"/>
      <c r="B4" s="16" t="s">
        <v>8</v>
      </c>
      <c r="C4" s="16" t="s">
        <v>9</v>
      </c>
      <c r="D4" s="16" t="s">
        <v>10</v>
      </c>
      <c r="E4" s="16" t="s">
        <v>11</v>
      </c>
      <c r="F4" s="16" t="s">
        <v>12</v>
      </c>
      <c r="G4" s="17" t="s">
        <v>13</v>
      </c>
      <c r="H4" s="17" t="s">
        <v>0</v>
      </c>
      <c r="I4" s="17" t="s">
        <v>1</v>
      </c>
      <c r="J4" s="18" t="s">
        <v>14</v>
      </c>
      <c r="K4" s="18" t="s">
        <v>15</v>
      </c>
      <c r="L4" s="18" t="s">
        <v>16</v>
      </c>
      <c r="M4" s="19" t="s">
        <v>17</v>
      </c>
      <c r="N4" s="19" t="s">
        <v>18</v>
      </c>
      <c r="O4" s="19" t="s">
        <v>19</v>
      </c>
      <c r="P4" s="20" t="s">
        <v>20</v>
      </c>
      <c r="Q4" s="20" t="s">
        <v>21</v>
      </c>
      <c r="R4" s="6" t="s">
        <v>22</v>
      </c>
      <c r="S4" s="6" t="s">
        <v>23</v>
      </c>
      <c r="T4" s="7"/>
    </row>
    <row r="5" spans="1:20" x14ac:dyDescent="0.25">
      <c r="A5" s="25" t="s">
        <v>28</v>
      </c>
      <c r="B5" s="4" t="s">
        <v>29</v>
      </c>
      <c r="C5" s="4">
        <f t="shared" ref="C5:C12" si="0">S5*0.00283</f>
        <v>756.48776058250007</v>
      </c>
      <c r="D5" s="3">
        <f>[1]INPUTS!C9</f>
        <v>38624.400000000001</v>
      </c>
      <c r="E5" s="3">
        <f>[1]INPUTS!P22-155</f>
        <v>1493.2</v>
      </c>
      <c r="F5" s="3">
        <f>[1]INPUTS!C12</f>
        <v>-508.5</v>
      </c>
      <c r="G5" s="3">
        <f>[1]INPUTS!C9</f>
        <v>38624.400000000001</v>
      </c>
      <c r="H5" s="3">
        <f>[1]INPUTS!P22-155</f>
        <v>1493.2</v>
      </c>
      <c r="I5" s="3">
        <f>[1]INPUTS!C12-107</f>
        <v>-615.5</v>
      </c>
      <c r="J5" s="3">
        <f>[1]INPUTS!C10</f>
        <v>39604.400000000001</v>
      </c>
      <c r="K5" s="3">
        <f>[1]INPUTS!U22-155</f>
        <v>1297.8</v>
      </c>
      <c r="L5" s="3">
        <f>[1]INPUTS!C12-107</f>
        <v>-615.5</v>
      </c>
      <c r="M5" s="3">
        <f>[1]INPUTS!C10</f>
        <v>39604.400000000001</v>
      </c>
      <c r="N5" s="3">
        <f>[1]INPUTS!U22-155</f>
        <v>1297.8</v>
      </c>
      <c r="O5" s="3">
        <f>[1]INPUTS!C12</f>
        <v>-508.5</v>
      </c>
      <c r="P5" s="3">
        <v>2.5</v>
      </c>
      <c r="Q5" s="3">
        <f t="shared" ref="Q5:Q10" si="1">P5</f>
        <v>2.5</v>
      </c>
      <c r="R5" s="4">
        <v>106924.06510000001</v>
      </c>
      <c r="S5" s="4">
        <f t="shared" ref="S5:S6" si="2">P5*R5</f>
        <v>267310.16275000002</v>
      </c>
      <c r="T5" s="1"/>
    </row>
    <row r="6" spans="1:20" x14ac:dyDescent="0.25">
      <c r="A6" s="23"/>
      <c r="B6" s="4" t="s">
        <v>24</v>
      </c>
      <c r="C6" s="4">
        <f t="shared" si="0"/>
        <v>1074.6925000000001</v>
      </c>
      <c r="D6" s="3">
        <f>[1]INPUTS!C9</f>
        <v>38624.400000000001</v>
      </c>
      <c r="E6" s="3">
        <f>[1]INPUTS!P22-155</f>
        <v>1493.2</v>
      </c>
      <c r="F6" s="3">
        <f>[1]INPUTS!C12</f>
        <v>-508.5</v>
      </c>
      <c r="G6" s="3">
        <f>[1]INPUTS!C9</f>
        <v>38624.400000000001</v>
      </c>
      <c r="H6" s="3">
        <f>[1]INPUTS!P22</f>
        <v>1648.2</v>
      </c>
      <c r="I6" s="3">
        <f>[1]INPUTS!C12</f>
        <v>-508.5</v>
      </c>
      <c r="J6" s="3">
        <f>[1]INPUTS!C10</f>
        <v>39604.400000000001</v>
      </c>
      <c r="K6" s="3">
        <f>[1]INPUTS!U22</f>
        <v>1452.8</v>
      </c>
      <c r="L6" s="3">
        <f>[1]INPUTS!C12</f>
        <v>-508.5</v>
      </c>
      <c r="M6" s="3">
        <f>[1]INPUTS!C10</f>
        <v>39604.400000000001</v>
      </c>
      <c r="N6" s="3">
        <f>[1]INPUTS!U22-155</f>
        <v>1297.8</v>
      </c>
      <c r="O6" s="3">
        <f>[1]INPUTS!C12</f>
        <v>-508.5</v>
      </c>
      <c r="P6" s="3">
        <v>2.5</v>
      </c>
      <c r="Q6" s="3">
        <f t="shared" si="1"/>
        <v>2.5</v>
      </c>
      <c r="R6" s="4">
        <v>151900</v>
      </c>
      <c r="S6" s="4">
        <f t="shared" si="2"/>
        <v>379750</v>
      </c>
      <c r="T6" s="1"/>
    </row>
    <row r="7" spans="1:20" x14ac:dyDescent="0.25">
      <c r="A7" s="23"/>
      <c r="B7" s="4" t="s">
        <v>25</v>
      </c>
      <c r="C7" s="4">
        <f t="shared" si="0"/>
        <v>859.40732500000001</v>
      </c>
      <c r="D7" s="3">
        <f>[1]INPUTS!C9</f>
        <v>38624.400000000001</v>
      </c>
      <c r="E7" s="3">
        <f>[1]INPUTS!P22-155</f>
        <v>1493.2</v>
      </c>
      <c r="F7" s="3">
        <f>[1]INPUTS!C12-107</f>
        <v>-615.5</v>
      </c>
      <c r="G7" s="3">
        <f>[1]INPUTS!C9</f>
        <v>38624.400000000001</v>
      </c>
      <c r="H7" s="3">
        <f>[1]INPUTS!P22*0.98</f>
        <v>1615.2360000000001</v>
      </c>
      <c r="I7" s="3">
        <f>[1]INPUTS!C12-107</f>
        <v>-615.5</v>
      </c>
      <c r="J7" s="3">
        <f>[1]INPUTS!C10</f>
        <v>39604.400000000001</v>
      </c>
      <c r="K7" s="3">
        <f>[1]INPUTS!U22*0.98</f>
        <v>1423.7439999999999</v>
      </c>
      <c r="L7" s="3">
        <f>[1]INPUTS!C12-107</f>
        <v>-615.5</v>
      </c>
      <c r="M7" s="3">
        <f>[1]INPUTS!C10</f>
        <v>39604.400000000001</v>
      </c>
      <c r="N7" s="3">
        <f>[1]INPUTS!U22-155</f>
        <v>1297.8</v>
      </c>
      <c r="O7" s="3">
        <f>[1]INPUTS!C12-107</f>
        <v>-615.5</v>
      </c>
      <c r="P7" s="3">
        <v>-2.5</v>
      </c>
      <c r="Q7" s="3">
        <f t="shared" si="1"/>
        <v>-2.5</v>
      </c>
      <c r="R7" s="4">
        <v>121471</v>
      </c>
      <c r="S7" s="4">
        <f>-P7*R7</f>
        <v>303677.5</v>
      </c>
      <c r="T7" s="1"/>
    </row>
    <row r="8" spans="1:20" x14ac:dyDescent="0.25">
      <c r="A8" s="23"/>
      <c r="B8" s="4" t="s">
        <v>30</v>
      </c>
      <c r="C8" s="4">
        <f t="shared" si="0"/>
        <v>185.19859600000001</v>
      </c>
      <c r="D8" s="3">
        <f>([1]INPUTS!C10-[1]INPUTS!C9)*0.25+[1]INPUTS!C9</f>
        <v>38869.4</v>
      </c>
      <c r="E8" s="3">
        <f>([1]INPUTS!U22-[1]INPUTS!P22)*0.25+[1]INPUTS!P22-155</f>
        <v>1444.35</v>
      </c>
      <c r="F8" s="3">
        <f>[1]INPUTS!C12</f>
        <v>-508.5</v>
      </c>
      <c r="G8" s="3">
        <f>([1]INPUTS!C10-[1]INPUTS!C9)*0.25+[1]INPUTS!C9</f>
        <v>38869.4</v>
      </c>
      <c r="H8" s="3">
        <f>([1]INPUTS!U22-[1]INPUTS!P22)*0.25+[1]INPUTS!P22</f>
        <v>1599.35</v>
      </c>
      <c r="I8" s="3">
        <f>[1]INPUTS!C12</f>
        <v>-508.5</v>
      </c>
      <c r="J8" s="3">
        <f>([1]INPUTS!C10-[1]INPUTS!C9)*0.25+[1]INPUTS!C9</f>
        <v>38869.4</v>
      </c>
      <c r="K8" s="3">
        <f>(([1]INPUTS!U22-[1]INPUTS!P22)*0.25+[1]INPUTS!P22)*0.98</f>
        <v>1567.3629999999998</v>
      </c>
      <c r="L8" s="3">
        <f>[1]INPUTS!C12-107</f>
        <v>-615.5</v>
      </c>
      <c r="M8" s="3">
        <f>([1]INPUTS!C10-[1]INPUTS!C9)*0.25+[1]INPUTS!C9</f>
        <v>38869.4</v>
      </c>
      <c r="N8" s="3">
        <f>([1]INPUTS!U22-[1]INPUTS!P22)*0.25+[1]INPUTS!P22-155</f>
        <v>1444.35</v>
      </c>
      <c r="O8" s="3">
        <f>[1]INPUTS!C12-107</f>
        <v>-615.5</v>
      </c>
      <c r="P8" s="3">
        <v>4.4000000000000004</v>
      </c>
      <c r="Q8" s="3">
        <f t="shared" si="1"/>
        <v>4.4000000000000004</v>
      </c>
      <c r="R8" s="4">
        <v>14873</v>
      </c>
      <c r="S8" s="4">
        <f t="shared" ref="S8:S12" si="3">P8*R8</f>
        <v>65441.200000000004</v>
      </c>
      <c r="T8" s="7"/>
    </row>
    <row r="9" spans="1:20" x14ac:dyDescent="0.25">
      <c r="A9" s="23"/>
      <c r="B9" s="4" t="s">
        <v>31</v>
      </c>
      <c r="C9" s="4">
        <f t="shared" si="0"/>
        <v>186.46434180000003</v>
      </c>
      <c r="D9" s="3">
        <f>([1]INPUTS!C10-[1]INPUTS!C9)*0.75+[1]INPUTS!C9</f>
        <v>39359.4</v>
      </c>
      <c r="E9" s="3">
        <f>([1]INPUTS!U22-[1]INPUTS!P22)*0.75+[1]INPUTS!P22-155</f>
        <v>1346.65</v>
      </c>
      <c r="F9" s="3">
        <f>[1]INPUTS!C12</f>
        <v>-508.5</v>
      </c>
      <c r="G9" s="3">
        <f>([1]INPUTS!C10-[1]INPUTS!C9)*0.75+[1]INPUTS!C9</f>
        <v>39359.4</v>
      </c>
      <c r="H9" s="3">
        <f>([1]INPUTS!U22-[1]INPUTS!P22)*0.75+[1]INPUTS!P22</f>
        <v>1501.65</v>
      </c>
      <c r="I9" s="3">
        <f>[1]INPUTS!C12</f>
        <v>-508.5</v>
      </c>
      <c r="J9" s="3">
        <f>([1]INPUTS!C10-[1]INPUTS!C9)*0.75+[1]INPUTS!C9</f>
        <v>39359.4</v>
      </c>
      <c r="K9" s="3">
        <f>(([1]INPUTS!U22-[1]INPUTS!P22)*0.75+[1]INPUTS!P22)*0.98</f>
        <v>1471.617</v>
      </c>
      <c r="L9" s="3">
        <f>[1]INPUTS!C12-107</f>
        <v>-615.5</v>
      </c>
      <c r="M9" s="3">
        <f>([1]INPUTS!C10-[1]INPUTS!C9)*0.75+[1]INPUTS!C9</f>
        <v>39359.4</v>
      </c>
      <c r="N9" s="3">
        <f>([1]INPUTS!U22-[1]INPUTS!P22)*0.75+[1]INPUTS!P22-155</f>
        <v>1346.65</v>
      </c>
      <c r="O9" s="3">
        <f>[1]INPUTS!C12-107</f>
        <v>-615.5</v>
      </c>
      <c r="P9" s="3">
        <v>4.4000000000000004</v>
      </c>
      <c r="Q9" s="3">
        <f t="shared" si="1"/>
        <v>4.4000000000000004</v>
      </c>
      <c r="R9" s="4">
        <v>14974.65</v>
      </c>
      <c r="S9" s="4">
        <f t="shared" si="3"/>
        <v>65888.460000000006</v>
      </c>
      <c r="T9" s="7"/>
    </row>
    <row r="10" spans="1:20" x14ac:dyDescent="0.25">
      <c r="A10" s="23"/>
      <c r="B10" s="4" t="s">
        <v>32</v>
      </c>
      <c r="C10" s="4">
        <f t="shared" si="0"/>
        <v>185.86477800000003</v>
      </c>
      <c r="D10" s="3">
        <f>([1]INPUTS!C9+[1]INPUTS!C10)/2</f>
        <v>39114.400000000001</v>
      </c>
      <c r="E10" s="3">
        <f>([1]INPUTS!P22+[1]INPUTS!U22)/2-155</f>
        <v>1395.5</v>
      </c>
      <c r="F10" s="3">
        <f>[1]INPUTS!C12</f>
        <v>-508.5</v>
      </c>
      <c r="G10" s="3">
        <f>([1]INPUTS!C9+[1]INPUTS!C10)/2</f>
        <v>39114.400000000001</v>
      </c>
      <c r="H10" s="3">
        <f>([1]INPUTS!P22+[1]INPUTS!U22)/2</f>
        <v>1550.5</v>
      </c>
      <c r="I10" s="3">
        <f>[1]INPUTS!C12</f>
        <v>-508.5</v>
      </c>
      <c r="J10" s="3">
        <f>([1]INPUTS!C9+[1]INPUTS!C10)/2</f>
        <v>39114.400000000001</v>
      </c>
      <c r="K10" s="3">
        <f>([1]INPUTS!P22+[1]INPUTS!U22)/2*0.98</f>
        <v>1519.49</v>
      </c>
      <c r="L10" s="3">
        <f>[1]INPUTS!C12-107</f>
        <v>-615.5</v>
      </c>
      <c r="M10" s="3">
        <f>([1]INPUTS!C9+[1]INPUTS!C10)/2</f>
        <v>39114.400000000001</v>
      </c>
      <c r="N10" s="3">
        <f>([1]INPUTS!P22+[1]INPUTS!U22)/2-155</f>
        <v>1395.5</v>
      </c>
      <c r="O10" s="3">
        <f>[1]INPUTS!C12-107</f>
        <v>-615.5</v>
      </c>
      <c r="P10" s="3">
        <v>4.4000000000000004</v>
      </c>
      <c r="Q10" s="3">
        <f t="shared" si="1"/>
        <v>4.4000000000000004</v>
      </c>
      <c r="R10" s="4">
        <v>14926.5</v>
      </c>
      <c r="S10" s="4">
        <f t="shared" si="3"/>
        <v>65676.600000000006</v>
      </c>
      <c r="T10" s="1"/>
    </row>
    <row r="11" spans="1:20" x14ac:dyDescent="0.25">
      <c r="A11" s="23"/>
      <c r="B11" s="4" t="s">
        <v>33</v>
      </c>
      <c r="C11" s="4">
        <f t="shared" si="0"/>
        <v>226.50188</v>
      </c>
      <c r="D11" s="3">
        <f>([1]INPUTS!C9+[1]INPUTS!C10)/2</f>
        <v>39114.400000000001</v>
      </c>
      <c r="E11" s="3">
        <f>([1]INPUTS!P22+[1]INPUTS!U22)/2-155-170</f>
        <v>1225.5</v>
      </c>
      <c r="F11" s="3">
        <f>[1]INPUTS!C12-32</f>
        <v>-540.5</v>
      </c>
      <c r="G11" s="3">
        <f>([1]INPUTS!C9+[1]INPUTS!C10)/2</f>
        <v>39114.400000000001</v>
      </c>
      <c r="H11" s="3">
        <f>([1]INPUTS!P22+[1]INPUTS!U22)/2-155</f>
        <v>1395.5</v>
      </c>
      <c r="I11" s="3">
        <f>[1]INPUTS!C12</f>
        <v>-508.5</v>
      </c>
      <c r="J11" s="3">
        <f>([1]INPUTS!C9+[1]INPUTS!C10)/2</f>
        <v>39114.400000000001</v>
      </c>
      <c r="K11" s="3">
        <f>([1]INPUTS!P22+[1]INPUTS!U22)/2-155</f>
        <v>1395.5</v>
      </c>
      <c r="L11" s="3">
        <f>[1]INPUTS!C12-107</f>
        <v>-615.5</v>
      </c>
      <c r="M11" s="3">
        <f>([1]INPUTS!C9+[1]INPUTS!C10)/2</f>
        <v>39114.400000000001</v>
      </c>
      <c r="N11" s="3">
        <f>([1]INPUTS!P22+[1]INPUTS!U22)/2-155-170</f>
        <v>1225.5</v>
      </c>
      <c r="O11" s="3">
        <f>[1]INPUTS!C12-107-32</f>
        <v>-647.5</v>
      </c>
      <c r="P11" s="3">
        <v>4.4000000000000004</v>
      </c>
      <c r="Q11" s="3">
        <v>12</v>
      </c>
      <c r="R11" s="4">
        <v>18190</v>
      </c>
      <c r="S11" s="4">
        <f t="shared" si="3"/>
        <v>80036</v>
      </c>
      <c r="T11" s="1"/>
    </row>
    <row r="12" spans="1:20" x14ac:dyDescent="0.25">
      <c r="A12" s="24"/>
      <c r="B12" s="4" t="s">
        <v>34</v>
      </c>
      <c r="C12" s="4">
        <f t="shared" si="0"/>
        <v>139.89822000000001</v>
      </c>
      <c r="D12" s="3">
        <f>([1]INPUTS!C9+[1]INPUTS!C10)/2</f>
        <v>39114.400000000001</v>
      </c>
      <c r="E12" s="3">
        <f>([1]INPUTS!P22+[1]INPUTS!U22)/2-155-170-105</f>
        <v>1120.5</v>
      </c>
      <c r="F12" s="3">
        <f>[1]INPUTS!C12-32</f>
        <v>-540.5</v>
      </c>
      <c r="G12" s="3">
        <f>([1]INPUTS!C9+[1]INPUTS!C10)/2</f>
        <v>39114.400000000001</v>
      </c>
      <c r="H12" s="3">
        <f>([1]INPUTS!P22+[1]INPUTS!U22)/2-155-170</f>
        <v>1225.5</v>
      </c>
      <c r="I12" s="3">
        <f>[1]INPUTS!C12-32</f>
        <v>-540.5</v>
      </c>
      <c r="J12" s="3">
        <f>([1]INPUTS!C9+[1]INPUTS!C10)/2</f>
        <v>39114.400000000001</v>
      </c>
      <c r="K12" s="3">
        <f>([1]INPUTS!P22+[1]INPUTS!U22)/2-155-170</f>
        <v>1225.5</v>
      </c>
      <c r="L12" s="3">
        <f>[1]INPUTS!C12-107-32</f>
        <v>-647.5</v>
      </c>
      <c r="M12" s="3">
        <f>([1]INPUTS!C9+[1]INPUTS!C10)/2</f>
        <v>39114.400000000001</v>
      </c>
      <c r="N12" s="3">
        <f>([1]INPUTS!P22+[1]INPUTS!U22)/2-155-170-105</f>
        <v>1120.5</v>
      </c>
      <c r="O12" s="3">
        <f>[1]INPUTS!C12-107-32</f>
        <v>-647.5</v>
      </c>
      <c r="P12" s="3">
        <v>4.4000000000000004</v>
      </c>
      <c r="Q12" s="3">
        <f>P12</f>
        <v>4.4000000000000004</v>
      </c>
      <c r="R12" s="4">
        <v>11235</v>
      </c>
      <c r="S12" s="4">
        <f t="shared" si="3"/>
        <v>49434.000000000007</v>
      </c>
      <c r="T12" s="1"/>
    </row>
    <row r="13" spans="1:20" x14ac:dyDescent="0.25">
      <c r="A13" s="7"/>
      <c r="B13" s="5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</row>
    <row r="14" spans="1:20" ht="15.75" customHeight="1" x14ac:dyDescent="0.3">
      <c r="A14" s="7"/>
      <c r="B14" s="7"/>
      <c r="C14" s="7"/>
      <c r="D14" s="7"/>
      <c r="E14" s="7"/>
      <c r="F14" s="7"/>
      <c r="G14" s="7"/>
      <c r="H14" s="7"/>
      <c r="I14" s="15"/>
      <c r="J14" s="7"/>
      <c r="K14" s="7"/>
      <c r="L14" s="7"/>
      <c r="M14" s="7"/>
      <c r="N14" s="7"/>
      <c r="O14" s="7"/>
      <c r="P14" s="7"/>
      <c r="Q14" s="7"/>
      <c r="R14" s="21"/>
      <c r="S14" s="7"/>
      <c r="T14" s="7"/>
    </row>
    <row r="15" spans="1:20" x14ac:dyDescent="0.2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21"/>
      <c r="S15" s="7"/>
      <c r="T15" s="7"/>
    </row>
    <row r="16" spans="1:20" x14ac:dyDescent="0.2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21"/>
      <c r="S16" s="7"/>
      <c r="T16" s="7"/>
    </row>
    <row r="17" spans="1:20" x14ac:dyDescent="0.2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21"/>
      <c r="S17" s="7"/>
      <c r="T17" s="7"/>
    </row>
    <row r="18" spans="1:20" x14ac:dyDescent="0.2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21"/>
      <c r="S18" s="7"/>
      <c r="T18" s="7"/>
    </row>
    <row r="19" spans="1:20" x14ac:dyDescent="0.2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21"/>
      <c r="S19" s="7"/>
      <c r="T19" s="7"/>
    </row>
    <row r="20" spans="1:20" x14ac:dyDescent="0.2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21"/>
      <c r="S20" s="7"/>
      <c r="T20" s="7"/>
    </row>
    <row r="21" spans="1:20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21"/>
      <c r="S21" s="7"/>
      <c r="T21" s="7"/>
    </row>
    <row r="22" spans="1:20" x14ac:dyDescent="0.2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</row>
    <row r="23" spans="1:20" x14ac:dyDescent="0.2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</row>
    <row r="24" spans="1:20" x14ac:dyDescent="0.2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</row>
    <row r="25" spans="1:20" x14ac:dyDescent="0.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</row>
    <row r="26" spans="1:20" x14ac:dyDescent="0.25">
      <c r="A26" s="7"/>
      <c r="B26" s="7"/>
      <c r="C26" s="7"/>
      <c r="D26" s="7"/>
      <c r="E26" s="7"/>
      <c r="F26" s="7"/>
      <c r="G26" s="7"/>
      <c r="H26" s="22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</row>
    <row r="27" spans="1:20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</row>
    <row r="28" spans="1:20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</row>
    <row r="29" spans="1:20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</row>
    <row r="30" spans="1:20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</row>
    <row r="31" spans="1:20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</row>
    <row r="32" spans="1:20" ht="15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</row>
    <row r="33" spans="1:20" ht="15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</row>
    <row r="34" spans="1:20" ht="15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</row>
    <row r="35" spans="1:20" ht="15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</row>
    <row r="36" spans="1:20" ht="15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</row>
    <row r="37" spans="1:20" ht="15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</row>
    <row r="38" spans="1:20" ht="15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</row>
    <row r="39" spans="1:20" ht="15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</row>
    <row r="40" spans="1:20" ht="15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</row>
    <row r="41" spans="1:20" ht="15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</row>
    <row r="42" spans="1:20" ht="15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</row>
    <row r="43" spans="1:20" ht="15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</row>
    <row r="44" spans="1:20" ht="15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</row>
    <row r="45" spans="1:20" ht="15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</row>
    <row r="46" spans="1:20" ht="15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</row>
    <row r="47" spans="1:20" ht="15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</row>
    <row r="48" spans="1:20" ht="15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</row>
    <row r="49" spans="1:20" ht="15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</row>
    <row r="50" spans="1:20" ht="15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</row>
    <row r="51" spans="1:20" ht="15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</row>
    <row r="52" spans="1:20" ht="15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</row>
    <row r="53" spans="1:20" ht="15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</row>
    <row r="54" spans="1:20" ht="15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</row>
    <row r="55" spans="1:20" ht="15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</row>
    <row r="56" spans="1:20" ht="15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</row>
    <row r="57" spans="1:20" ht="15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</row>
    <row r="58" spans="1:20" ht="15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</row>
    <row r="59" spans="1:20" ht="15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</row>
    <row r="60" spans="1:20" ht="15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</row>
    <row r="61" spans="1:20" ht="15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</row>
    <row r="62" spans="1:20" ht="15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</row>
    <row r="63" spans="1:20" ht="15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</row>
    <row r="64" spans="1:20" ht="15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</row>
    <row r="65" spans="1:20" ht="15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</row>
    <row r="66" spans="1:20" ht="15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</row>
    <row r="67" spans="1:20" ht="15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</row>
    <row r="68" spans="1:20" ht="15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</row>
    <row r="69" spans="1:20" ht="15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</row>
    <row r="70" spans="1:20" ht="15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</row>
    <row r="71" spans="1:20" ht="15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</row>
    <row r="72" spans="1:20" ht="15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</row>
    <row r="73" spans="1:20" ht="15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</row>
    <row r="74" spans="1:20" ht="15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</row>
    <row r="75" spans="1:20" ht="15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</row>
    <row r="76" spans="1:20" ht="15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</row>
    <row r="77" spans="1:20" ht="15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</row>
    <row r="78" spans="1:20" ht="15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</row>
    <row r="79" spans="1:20" ht="15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</row>
    <row r="80" spans="1:20" ht="15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</row>
    <row r="81" spans="1:20" ht="15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</row>
    <row r="82" spans="1:20" ht="15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</row>
    <row r="83" spans="1:20" ht="15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</row>
    <row r="84" spans="1:20" ht="15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</row>
    <row r="85" spans="1:20" ht="15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</row>
    <row r="86" spans="1:20" ht="15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</row>
    <row r="87" spans="1:20" ht="15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</row>
    <row r="88" spans="1:20" ht="15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</row>
    <row r="89" spans="1:20" ht="15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</row>
    <row r="90" spans="1:20" ht="15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</row>
    <row r="91" spans="1:20" ht="15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</row>
    <row r="92" spans="1:20" ht="15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</row>
    <row r="93" spans="1:20" ht="15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</row>
    <row r="94" spans="1:20" ht="15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</row>
    <row r="95" spans="1:20" ht="15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</row>
    <row r="96" spans="1:20" ht="15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</row>
    <row r="97" spans="1:20" ht="15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</row>
    <row r="98" spans="1:20" ht="15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</row>
    <row r="99" spans="1:20" ht="15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</row>
    <row r="100" spans="1:20" ht="15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</row>
    <row r="101" spans="1:20" ht="15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</row>
    <row r="102" spans="1:20" ht="15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</row>
    <row r="103" spans="1:20" ht="15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</row>
    <row r="104" spans="1:20" ht="15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</row>
    <row r="105" spans="1:20" ht="15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</row>
    <row r="106" spans="1:20" ht="15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</row>
    <row r="107" spans="1:20" ht="15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</row>
    <row r="108" spans="1:20" ht="15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</row>
    <row r="109" spans="1:20" ht="15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</row>
    <row r="110" spans="1:20" ht="15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</row>
    <row r="111" spans="1:20" ht="15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</row>
    <row r="112" spans="1:20" ht="15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</row>
    <row r="113" spans="1:20" ht="15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</row>
    <row r="114" spans="1:20" ht="15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</row>
    <row r="115" spans="1:20" ht="15" x14ac:dyDescent="0.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</row>
    <row r="116" spans="1:20" ht="15" x14ac:dyDescent="0.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</row>
    <row r="117" spans="1:20" ht="15" x14ac:dyDescent="0.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</row>
    <row r="118" spans="1:20" ht="15" x14ac:dyDescent="0.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</row>
    <row r="119" spans="1:20" ht="15" x14ac:dyDescent="0.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</row>
    <row r="120" spans="1:20" ht="15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</row>
    <row r="121" spans="1:20" ht="15" x14ac:dyDescent="0.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</row>
    <row r="122" spans="1:20" ht="15" x14ac:dyDescent="0.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</row>
    <row r="123" spans="1:20" ht="15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</row>
    <row r="124" spans="1:20" ht="15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</row>
    <row r="125" spans="1:20" ht="15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</row>
    <row r="126" spans="1:20" ht="15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</row>
    <row r="127" spans="1:20" ht="15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</row>
    <row r="128" spans="1:20" ht="15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</row>
    <row r="129" spans="1:20" ht="15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</row>
    <row r="130" spans="1:20" ht="15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</row>
    <row r="131" spans="1:20" ht="15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</row>
    <row r="132" spans="1:20" ht="15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</row>
    <row r="133" spans="1:20" ht="15" x14ac:dyDescent="0.2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</row>
    <row r="134" spans="1:20" ht="15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</row>
    <row r="135" spans="1:20" ht="15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</row>
    <row r="136" spans="1:20" ht="15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</row>
    <row r="137" spans="1:20" ht="15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</row>
    <row r="138" spans="1:20" ht="15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</row>
    <row r="139" spans="1:20" ht="15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</row>
    <row r="140" spans="1:20" ht="15" x14ac:dyDescent="0.2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</row>
    <row r="141" spans="1:20" ht="15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</row>
    <row r="142" spans="1:20" ht="15" x14ac:dyDescent="0.2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</row>
    <row r="143" spans="1:20" ht="15" x14ac:dyDescent="0.2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</row>
    <row r="144" spans="1:20" ht="15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</row>
    <row r="145" spans="1:20" ht="15" x14ac:dyDescent="0.2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</row>
    <row r="146" spans="1:20" ht="15" x14ac:dyDescent="0.2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</row>
    <row r="147" spans="1:20" ht="15" x14ac:dyDescent="0.2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</row>
    <row r="148" spans="1:20" ht="15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</row>
    <row r="149" spans="1:20" ht="15" x14ac:dyDescent="0.2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</row>
    <row r="150" spans="1:20" ht="15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</row>
    <row r="151" spans="1:20" ht="15" x14ac:dyDescent="0.2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</row>
    <row r="152" spans="1:20" ht="15" x14ac:dyDescent="0.2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</row>
    <row r="153" spans="1:20" ht="15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</row>
    <row r="154" spans="1:20" ht="15" x14ac:dyDescent="0.2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</row>
    <row r="155" spans="1:20" ht="15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</row>
    <row r="156" spans="1:20" ht="15" x14ac:dyDescent="0.2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</row>
    <row r="157" spans="1:20" ht="15" x14ac:dyDescent="0.2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</row>
    <row r="158" spans="1:20" ht="15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</row>
    <row r="159" spans="1:20" ht="15" x14ac:dyDescent="0.2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</row>
    <row r="160" spans="1:20" ht="15" x14ac:dyDescent="0.2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</row>
    <row r="161" spans="1:20" ht="15" x14ac:dyDescent="0.2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</row>
    <row r="162" spans="1:20" ht="15" x14ac:dyDescent="0.2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</row>
    <row r="163" spans="1:20" ht="15" x14ac:dyDescent="0.2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</row>
    <row r="164" spans="1:20" ht="15" x14ac:dyDescent="0.2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</row>
    <row r="165" spans="1:20" ht="15" x14ac:dyDescent="0.2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</row>
    <row r="166" spans="1:20" ht="15" x14ac:dyDescent="0.2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</row>
    <row r="167" spans="1:20" ht="15" x14ac:dyDescent="0.2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</row>
    <row r="168" spans="1:20" ht="15" x14ac:dyDescent="0.2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</row>
    <row r="169" spans="1:20" ht="15" x14ac:dyDescent="0.2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</row>
    <row r="170" spans="1:20" ht="15" x14ac:dyDescent="0.2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</row>
    <row r="171" spans="1:20" ht="15" x14ac:dyDescent="0.2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</row>
    <row r="172" spans="1:20" ht="15" x14ac:dyDescent="0.2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</row>
    <row r="173" spans="1:20" ht="15" x14ac:dyDescent="0.2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</row>
    <row r="174" spans="1:20" ht="15" x14ac:dyDescent="0.2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</row>
    <row r="175" spans="1:20" ht="15" x14ac:dyDescent="0.2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</row>
    <row r="176" spans="1:20" ht="15" x14ac:dyDescent="0.2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</row>
    <row r="177" spans="1:20" ht="15" x14ac:dyDescent="0.2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</row>
    <row r="178" spans="1:20" ht="15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</row>
    <row r="179" spans="1:20" ht="15" x14ac:dyDescent="0.2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</row>
    <row r="180" spans="1:20" ht="15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</row>
    <row r="181" spans="1:20" ht="15" x14ac:dyDescent="0.2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</row>
    <row r="182" spans="1:20" ht="15" x14ac:dyDescent="0.2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</row>
    <row r="183" spans="1:20" ht="15" x14ac:dyDescent="0.2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</row>
    <row r="184" spans="1:20" ht="15" x14ac:dyDescent="0.2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</row>
    <row r="185" spans="1:20" ht="15" x14ac:dyDescent="0.2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</row>
    <row r="186" spans="1:20" ht="15" x14ac:dyDescent="0.2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</row>
    <row r="187" spans="1:20" ht="15" x14ac:dyDescent="0.2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</row>
    <row r="188" spans="1:20" ht="15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</row>
    <row r="189" spans="1:20" ht="15" x14ac:dyDescent="0.2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</row>
    <row r="190" spans="1:20" ht="15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</row>
    <row r="191" spans="1:20" ht="15" x14ac:dyDescent="0.2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</row>
    <row r="192" spans="1:20" ht="15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</row>
    <row r="193" spans="1:20" ht="15" x14ac:dyDescent="0.2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</row>
    <row r="194" spans="1:20" ht="15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</row>
    <row r="195" spans="1:20" ht="15" x14ac:dyDescent="0.2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</row>
    <row r="196" spans="1:20" ht="15" x14ac:dyDescent="0.2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</row>
    <row r="197" spans="1:20" ht="15" x14ac:dyDescent="0.2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</row>
    <row r="198" spans="1:20" ht="15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</row>
    <row r="199" spans="1:20" ht="15" x14ac:dyDescent="0.2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</row>
    <row r="200" spans="1:20" ht="15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</row>
    <row r="201" spans="1:20" ht="15" x14ac:dyDescent="0.2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</row>
    <row r="202" spans="1:20" ht="15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</row>
    <row r="203" spans="1:20" ht="15" x14ac:dyDescent="0.2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</row>
    <row r="204" spans="1:20" ht="15" x14ac:dyDescent="0.2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</row>
    <row r="205" spans="1:20" ht="15" x14ac:dyDescent="0.2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</row>
    <row r="206" spans="1:20" ht="15" x14ac:dyDescent="0.2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</row>
    <row r="207" spans="1:20" ht="15" x14ac:dyDescent="0.2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</row>
    <row r="208" spans="1:20" ht="15" x14ac:dyDescent="0.2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</row>
    <row r="209" spans="1:20" ht="15" x14ac:dyDescent="0.2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</row>
    <row r="210" spans="1:20" ht="15" x14ac:dyDescent="0.2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</row>
    <row r="211" spans="1:20" ht="15" x14ac:dyDescent="0.2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</row>
    <row r="212" spans="1:20" ht="15" x14ac:dyDescent="0.2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</row>
    <row r="213" spans="1:20" ht="15" x14ac:dyDescent="0.2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</row>
    <row r="214" spans="1:20" ht="15" x14ac:dyDescent="0.2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</row>
    <row r="215" spans="1:20" ht="15" x14ac:dyDescent="0.2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</row>
    <row r="216" spans="1:20" ht="15" x14ac:dyDescent="0.2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</row>
    <row r="217" spans="1:20" ht="15" x14ac:dyDescent="0.2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</row>
    <row r="218" spans="1:20" ht="15" x14ac:dyDescent="0.2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</row>
    <row r="219" spans="1:20" ht="15" x14ac:dyDescent="0.2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</row>
    <row r="220" spans="1:20" ht="15" x14ac:dyDescent="0.2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</row>
    <row r="221" spans="1:20" ht="15" x14ac:dyDescent="0.2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</row>
    <row r="222" spans="1:20" ht="15" x14ac:dyDescent="0.2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</row>
    <row r="223" spans="1:20" ht="15" x14ac:dyDescent="0.2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</row>
    <row r="224" spans="1:20" ht="15" x14ac:dyDescent="0.2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</row>
    <row r="225" spans="1:20" ht="15" x14ac:dyDescent="0.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</row>
    <row r="226" spans="1:20" ht="15" x14ac:dyDescent="0.2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</row>
    <row r="227" spans="1:20" ht="15" x14ac:dyDescent="0.2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</row>
    <row r="228" spans="1:20" ht="15" x14ac:dyDescent="0.2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</row>
    <row r="229" spans="1:20" ht="15" x14ac:dyDescent="0.2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</row>
    <row r="230" spans="1:20" ht="15" x14ac:dyDescent="0.2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</row>
    <row r="231" spans="1:20" ht="15" x14ac:dyDescent="0.2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</row>
    <row r="232" spans="1:20" ht="15" x14ac:dyDescent="0.2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</row>
    <row r="233" spans="1:20" ht="15" x14ac:dyDescent="0.2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</row>
    <row r="234" spans="1:20" ht="15" x14ac:dyDescent="0.2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</row>
    <row r="235" spans="1:20" ht="15" x14ac:dyDescent="0.2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</row>
    <row r="236" spans="1:20" ht="15" x14ac:dyDescent="0.2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</row>
    <row r="237" spans="1:20" ht="15" x14ac:dyDescent="0.2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</row>
    <row r="238" spans="1:20" ht="15" x14ac:dyDescent="0.2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</row>
    <row r="239" spans="1:20" ht="15" x14ac:dyDescent="0.2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</row>
    <row r="240" spans="1:20" ht="15" x14ac:dyDescent="0.2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</row>
    <row r="241" spans="1:20" ht="15" x14ac:dyDescent="0.2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</row>
    <row r="242" spans="1:20" ht="15" x14ac:dyDescent="0.2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</row>
    <row r="243" spans="1:20" ht="15" x14ac:dyDescent="0.2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</row>
    <row r="244" spans="1:20" ht="15" x14ac:dyDescent="0.2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</row>
    <row r="245" spans="1:20" ht="15" x14ac:dyDescent="0.2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</row>
    <row r="246" spans="1:20" ht="15" x14ac:dyDescent="0.2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</row>
    <row r="247" spans="1:20" ht="15" x14ac:dyDescent="0.2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</row>
    <row r="248" spans="1:20" ht="15" x14ac:dyDescent="0.2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</row>
    <row r="249" spans="1:20" ht="15" x14ac:dyDescent="0.2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</row>
    <row r="250" spans="1:20" ht="15" x14ac:dyDescent="0.2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</row>
    <row r="251" spans="1:20" ht="15" x14ac:dyDescent="0.2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</row>
    <row r="252" spans="1:20" ht="15" x14ac:dyDescent="0.2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</row>
    <row r="253" spans="1:20" ht="15" x14ac:dyDescent="0.2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</row>
    <row r="254" spans="1:20" ht="15" x14ac:dyDescent="0.2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</row>
    <row r="255" spans="1:20" ht="15" x14ac:dyDescent="0.2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</row>
    <row r="256" spans="1:20" ht="15" x14ac:dyDescent="0.2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</row>
    <row r="257" spans="1:20" ht="15" x14ac:dyDescent="0.2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</row>
    <row r="258" spans="1:20" ht="15" x14ac:dyDescent="0.2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</row>
    <row r="259" spans="1:20" ht="15" x14ac:dyDescent="0.2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</row>
    <row r="260" spans="1:20" ht="15" x14ac:dyDescent="0.2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</row>
    <row r="261" spans="1:20" ht="15" x14ac:dyDescent="0.2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</row>
    <row r="262" spans="1:20" ht="15" x14ac:dyDescent="0.2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</row>
    <row r="263" spans="1:20" ht="15" x14ac:dyDescent="0.2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</row>
    <row r="264" spans="1:20" ht="15" x14ac:dyDescent="0.2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</row>
    <row r="265" spans="1:20" ht="15" x14ac:dyDescent="0.2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</row>
    <row r="266" spans="1:20" ht="15" x14ac:dyDescent="0.2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</row>
    <row r="267" spans="1:20" ht="15" x14ac:dyDescent="0.2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</row>
    <row r="268" spans="1:20" ht="15" x14ac:dyDescent="0.2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</row>
    <row r="269" spans="1:20" ht="15" x14ac:dyDescent="0.2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</row>
    <row r="270" spans="1:20" ht="15" x14ac:dyDescent="0.2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</row>
    <row r="271" spans="1:20" ht="15" x14ac:dyDescent="0.2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</row>
    <row r="272" spans="1:20" ht="15" x14ac:dyDescent="0.2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</row>
    <row r="273" spans="1:20" ht="15" x14ac:dyDescent="0.2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</row>
    <row r="274" spans="1:20" ht="15" x14ac:dyDescent="0.2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</row>
    <row r="275" spans="1:20" ht="15" x14ac:dyDescent="0.2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</row>
    <row r="276" spans="1:20" ht="15" x14ac:dyDescent="0.2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</row>
    <row r="277" spans="1:20" ht="15" x14ac:dyDescent="0.2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</row>
    <row r="278" spans="1:20" ht="15" x14ac:dyDescent="0.2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</row>
    <row r="279" spans="1:20" ht="15" x14ac:dyDescent="0.2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</row>
    <row r="280" spans="1:20" ht="15" x14ac:dyDescent="0.2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</row>
    <row r="281" spans="1:20" ht="15" x14ac:dyDescent="0.2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</row>
    <row r="282" spans="1:20" ht="15" x14ac:dyDescent="0.2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</row>
    <row r="283" spans="1:20" ht="15" x14ac:dyDescent="0.2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</row>
    <row r="284" spans="1:20" ht="15" x14ac:dyDescent="0.2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</row>
    <row r="285" spans="1:20" ht="15" x14ac:dyDescent="0.2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</row>
    <row r="286" spans="1:20" ht="15" x14ac:dyDescent="0.2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</row>
    <row r="287" spans="1:20" ht="15" x14ac:dyDescent="0.2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</row>
    <row r="288" spans="1:20" ht="15" x14ac:dyDescent="0.2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</row>
    <row r="289" spans="1:20" ht="15" x14ac:dyDescent="0.2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</row>
    <row r="290" spans="1:20" ht="15" x14ac:dyDescent="0.2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</row>
    <row r="291" spans="1:20" ht="15" x14ac:dyDescent="0.2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</row>
    <row r="292" spans="1:20" ht="15" x14ac:dyDescent="0.2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</row>
    <row r="293" spans="1:20" ht="15" x14ac:dyDescent="0.2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</row>
    <row r="294" spans="1:20" ht="15" x14ac:dyDescent="0.2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</row>
    <row r="295" spans="1:20" ht="15" x14ac:dyDescent="0.2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</row>
    <row r="296" spans="1:20" ht="15" x14ac:dyDescent="0.2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</row>
    <row r="297" spans="1:20" ht="15" x14ac:dyDescent="0.2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</row>
    <row r="298" spans="1:20" ht="15" x14ac:dyDescent="0.2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</row>
    <row r="299" spans="1:20" ht="15" x14ac:dyDescent="0.2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</row>
    <row r="300" spans="1:20" ht="15" x14ac:dyDescent="0.2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</row>
    <row r="301" spans="1:20" ht="15" x14ac:dyDescent="0.2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</row>
    <row r="302" spans="1:20" ht="15" x14ac:dyDescent="0.2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</row>
    <row r="303" spans="1:20" ht="15" x14ac:dyDescent="0.2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</row>
    <row r="304" spans="1:20" ht="15" x14ac:dyDescent="0.2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</row>
    <row r="305" spans="1:20" ht="15" x14ac:dyDescent="0.2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</row>
    <row r="306" spans="1:20" ht="15" x14ac:dyDescent="0.2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</row>
    <row r="307" spans="1:20" ht="15" x14ac:dyDescent="0.2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</row>
    <row r="308" spans="1:20" ht="15" x14ac:dyDescent="0.2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</row>
    <row r="309" spans="1:20" ht="15" x14ac:dyDescent="0.2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</row>
    <row r="310" spans="1:20" ht="15" x14ac:dyDescent="0.2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</row>
    <row r="311" spans="1:20" ht="15" x14ac:dyDescent="0.2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</row>
    <row r="312" spans="1:20" ht="15" x14ac:dyDescent="0.2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</row>
    <row r="313" spans="1:20" ht="15" x14ac:dyDescent="0.2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</row>
    <row r="314" spans="1:20" ht="15" x14ac:dyDescent="0.2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</row>
    <row r="315" spans="1:20" ht="15" x14ac:dyDescent="0.2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</row>
    <row r="316" spans="1:20" ht="15" x14ac:dyDescent="0.2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</row>
    <row r="317" spans="1:20" ht="15" x14ac:dyDescent="0.2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</row>
    <row r="318" spans="1:20" ht="15" x14ac:dyDescent="0.2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</row>
    <row r="319" spans="1:20" ht="15" x14ac:dyDescent="0.2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</row>
    <row r="320" spans="1:20" ht="15" x14ac:dyDescent="0.2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</row>
    <row r="321" spans="1:20" ht="15" x14ac:dyDescent="0.2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</row>
    <row r="322" spans="1:20" ht="15" x14ac:dyDescent="0.2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</row>
    <row r="323" spans="1:20" ht="15" x14ac:dyDescent="0.2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</row>
    <row r="324" spans="1:20" ht="15" x14ac:dyDescent="0.2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</row>
    <row r="325" spans="1:20" ht="15" x14ac:dyDescent="0.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</row>
    <row r="326" spans="1:20" ht="15" x14ac:dyDescent="0.2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</row>
    <row r="327" spans="1:20" ht="15" x14ac:dyDescent="0.2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</row>
    <row r="328" spans="1:20" ht="15" x14ac:dyDescent="0.2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</row>
    <row r="329" spans="1:20" ht="15" x14ac:dyDescent="0.2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</row>
    <row r="330" spans="1:20" ht="15" x14ac:dyDescent="0.2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</row>
    <row r="331" spans="1:20" ht="15" x14ac:dyDescent="0.2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</row>
    <row r="332" spans="1:20" ht="15" x14ac:dyDescent="0.2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</row>
    <row r="333" spans="1:20" ht="15" x14ac:dyDescent="0.2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</row>
    <row r="334" spans="1:20" ht="15" x14ac:dyDescent="0.2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</row>
    <row r="335" spans="1:20" ht="15" x14ac:dyDescent="0.2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</row>
    <row r="336" spans="1:20" ht="15" x14ac:dyDescent="0.2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</row>
    <row r="337" spans="1:20" ht="15" x14ac:dyDescent="0.2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</row>
    <row r="338" spans="1:20" ht="15" x14ac:dyDescent="0.2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</row>
    <row r="339" spans="1:20" ht="15" x14ac:dyDescent="0.2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</row>
    <row r="340" spans="1:20" ht="15" x14ac:dyDescent="0.2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</row>
    <row r="341" spans="1:20" ht="15" x14ac:dyDescent="0.2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</row>
    <row r="342" spans="1:20" ht="15" x14ac:dyDescent="0.2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</row>
    <row r="343" spans="1:20" ht="15" x14ac:dyDescent="0.2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</row>
    <row r="344" spans="1:20" ht="15" x14ac:dyDescent="0.2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</row>
    <row r="345" spans="1:20" ht="15" x14ac:dyDescent="0.2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</row>
    <row r="346" spans="1:20" ht="15" x14ac:dyDescent="0.2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</row>
    <row r="347" spans="1:20" ht="15" x14ac:dyDescent="0.2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</row>
    <row r="348" spans="1:20" ht="15" x14ac:dyDescent="0.2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</row>
    <row r="349" spans="1:20" ht="15" x14ac:dyDescent="0.2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</row>
    <row r="350" spans="1:20" ht="15" x14ac:dyDescent="0.2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</row>
    <row r="351" spans="1:20" ht="15" x14ac:dyDescent="0.2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</row>
    <row r="352" spans="1:20" ht="15" x14ac:dyDescent="0.2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</row>
    <row r="353" spans="1:20" ht="15" x14ac:dyDescent="0.2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</row>
    <row r="354" spans="1:20" ht="15" x14ac:dyDescent="0.2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</row>
    <row r="355" spans="1:20" ht="15" x14ac:dyDescent="0.2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</row>
    <row r="356" spans="1:20" ht="15" x14ac:dyDescent="0.2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</row>
    <row r="357" spans="1:20" ht="15" x14ac:dyDescent="0.2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</row>
    <row r="358" spans="1:20" ht="15" x14ac:dyDescent="0.2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</row>
    <row r="359" spans="1:20" ht="15" x14ac:dyDescent="0.2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</row>
    <row r="360" spans="1:20" ht="15" x14ac:dyDescent="0.2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</row>
    <row r="361" spans="1:20" ht="15" x14ac:dyDescent="0.2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</row>
    <row r="362" spans="1:20" ht="15" x14ac:dyDescent="0.2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</row>
    <row r="363" spans="1:20" ht="15" x14ac:dyDescent="0.2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</row>
    <row r="364" spans="1:20" ht="15" x14ac:dyDescent="0.2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</row>
    <row r="365" spans="1:20" ht="15" x14ac:dyDescent="0.2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</row>
    <row r="366" spans="1:20" ht="15" x14ac:dyDescent="0.2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</row>
    <row r="367" spans="1:20" ht="15" x14ac:dyDescent="0.2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</row>
    <row r="368" spans="1:20" ht="15" x14ac:dyDescent="0.2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</row>
    <row r="369" spans="1:20" ht="15" x14ac:dyDescent="0.2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</row>
    <row r="370" spans="1:20" ht="15" x14ac:dyDescent="0.2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</row>
    <row r="371" spans="1:20" ht="15" x14ac:dyDescent="0.2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</row>
    <row r="372" spans="1:20" ht="15" x14ac:dyDescent="0.2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</row>
    <row r="373" spans="1:20" ht="15" x14ac:dyDescent="0.2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</row>
    <row r="374" spans="1:20" ht="15" x14ac:dyDescent="0.2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</row>
    <row r="375" spans="1:20" ht="15" x14ac:dyDescent="0.2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</row>
    <row r="376" spans="1:20" ht="15" x14ac:dyDescent="0.2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</row>
    <row r="377" spans="1:20" ht="15" x14ac:dyDescent="0.2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</row>
    <row r="378" spans="1:20" ht="15" x14ac:dyDescent="0.2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</row>
    <row r="379" spans="1:20" ht="15" x14ac:dyDescent="0.2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</row>
    <row r="380" spans="1:20" ht="15" x14ac:dyDescent="0.2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</row>
    <row r="381" spans="1:20" ht="15" x14ac:dyDescent="0.2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</row>
    <row r="382" spans="1:20" ht="15" x14ac:dyDescent="0.2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</row>
    <row r="383" spans="1:20" ht="15" x14ac:dyDescent="0.2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</row>
    <row r="384" spans="1:20" ht="15" x14ac:dyDescent="0.2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</row>
    <row r="385" spans="1:20" ht="15" x14ac:dyDescent="0.2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</row>
    <row r="386" spans="1:20" ht="15" x14ac:dyDescent="0.2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</row>
    <row r="387" spans="1:20" ht="15" x14ac:dyDescent="0.2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</row>
    <row r="388" spans="1:20" ht="15" x14ac:dyDescent="0.2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</row>
    <row r="389" spans="1:20" ht="15" x14ac:dyDescent="0.2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</row>
    <row r="390" spans="1:20" ht="15" x14ac:dyDescent="0.2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</row>
    <row r="391" spans="1:20" ht="15" x14ac:dyDescent="0.2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</row>
    <row r="392" spans="1:20" ht="15" x14ac:dyDescent="0.2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</row>
    <row r="393" spans="1:20" ht="15" x14ac:dyDescent="0.2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</row>
    <row r="394" spans="1:20" ht="15" x14ac:dyDescent="0.2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</row>
    <row r="395" spans="1:20" ht="15" x14ac:dyDescent="0.2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</row>
    <row r="396" spans="1:20" ht="15" x14ac:dyDescent="0.2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</row>
    <row r="397" spans="1:20" ht="15" x14ac:dyDescent="0.2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</row>
    <row r="398" spans="1:20" ht="15" x14ac:dyDescent="0.2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</row>
    <row r="399" spans="1:20" ht="15" x14ac:dyDescent="0.2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</row>
    <row r="400" spans="1:20" ht="15" x14ac:dyDescent="0.2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</row>
    <row r="401" spans="1:20" ht="15" x14ac:dyDescent="0.2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</row>
    <row r="402" spans="1:20" ht="15" x14ac:dyDescent="0.2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</row>
    <row r="403" spans="1:20" ht="15" x14ac:dyDescent="0.2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</row>
    <row r="404" spans="1:20" ht="15" x14ac:dyDescent="0.2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</row>
    <row r="405" spans="1:20" ht="15" x14ac:dyDescent="0.2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</row>
    <row r="406" spans="1:20" ht="15" x14ac:dyDescent="0.2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</row>
    <row r="407" spans="1:20" ht="15" x14ac:dyDescent="0.2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</row>
    <row r="408" spans="1:20" ht="15" x14ac:dyDescent="0.2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</row>
    <row r="409" spans="1:20" ht="15" x14ac:dyDescent="0.2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</row>
    <row r="410" spans="1:20" ht="15" x14ac:dyDescent="0.2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</row>
    <row r="411" spans="1:20" ht="15" x14ac:dyDescent="0.2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</row>
    <row r="412" spans="1:20" ht="15" x14ac:dyDescent="0.2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</row>
    <row r="413" spans="1:20" ht="15" x14ac:dyDescent="0.2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</row>
    <row r="414" spans="1:20" ht="15" x14ac:dyDescent="0.2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</row>
    <row r="415" spans="1:20" ht="15" x14ac:dyDescent="0.2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</row>
    <row r="416" spans="1:20" ht="15" x14ac:dyDescent="0.2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</row>
    <row r="417" spans="1:20" ht="15" x14ac:dyDescent="0.2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</row>
    <row r="418" spans="1:20" ht="15" x14ac:dyDescent="0.2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</row>
    <row r="419" spans="1:20" ht="15" x14ac:dyDescent="0.2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</row>
    <row r="420" spans="1:20" ht="15" x14ac:dyDescent="0.2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</row>
    <row r="421" spans="1:20" ht="15" x14ac:dyDescent="0.2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</row>
    <row r="422" spans="1:20" ht="15" x14ac:dyDescent="0.2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</row>
    <row r="423" spans="1:20" ht="15" x14ac:dyDescent="0.2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</row>
    <row r="424" spans="1:20" ht="15" x14ac:dyDescent="0.2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</row>
    <row r="425" spans="1:20" ht="15" x14ac:dyDescent="0.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</row>
    <row r="426" spans="1:20" ht="15" x14ac:dyDescent="0.2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</row>
    <row r="427" spans="1:20" ht="15" x14ac:dyDescent="0.2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</row>
    <row r="428" spans="1:20" ht="15" x14ac:dyDescent="0.2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</row>
    <row r="429" spans="1:20" ht="15" x14ac:dyDescent="0.2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</row>
    <row r="430" spans="1:20" ht="15" x14ac:dyDescent="0.2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</row>
    <row r="431" spans="1:20" ht="15" x14ac:dyDescent="0.2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</row>
    <row r="432" spans="1:20" ht="15" x14ac:dyDescent="0.2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</row>
    <row r="433" spans="1:20" ht="15" x14ac:dyDescent="0.2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</row>
    <row r="434" spans="1:20" ht="15" x14ac:dyDescent="0.2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</row>
    <row r="435" spans="1:20" ht="15" x14ac:dyDescent="0.2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</row>
    <row r="436" spans="1:20" ht="15" x14ac:dyDescent="0.2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</row>
    <row r="437" spans="1:20" ht="15" x14ac:dyDescent="0.2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</row>
    <row r="438" spans="1:20" ht="15" x14ac:dyDescent="0.2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</row>
    <row r="439" spans="1:20" ht="15" x14ac:dyDescent="0.2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</row>
    <row r="440" spans="1:20" ht="15" x14ac:dyDescent="0.2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</row>
    <row r="441" spans="1:20" ht="15" x14ac:dyDescent="0.2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</row>
    <row r="442" spans="1:20" ht="15" x14ac:dyDescent="0.2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</row>
    <row r="443" spans="1:20" ht="15" x14ac:dyDescent="0.2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</row>
    <row r="444" spans="1:20" ht="15" x14ac:dyDescent="0.2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</row>
    <row r="445" spans="1:20" ht="15" x14ac:dyDescent="0.2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</row>
    <row r="446" spans="1:20" ht="15" x14ac:dyDescent="0.25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</row>
    <row r="447" spans="1:20" ht="15" x14ac:dyDescent="0.2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</row>
    <row r="448" spans="1:20" ht="15" x14ac:dyDescent="0.2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</row>
    <row r="449" spans="1:20" ht="15" x14ac:dyDescent="0.2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</row>
    <row r="450" spans="1:20" ht="15" x14ac:dyDescent="0.2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</row>
    <row r="451" spans="1:20" ht="15" x14ac:dyDescent="0.2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</row>
    <row r="452" spans="1:20" ht="15" x14ac:dyDescent="0.2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</row>
    <row r="453" spans="1:20" ht="15" x14ac:dyDescent="0.2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</row>
    <row r="454" spans="1:20" ht="15" x14ac:dyDescent="0.2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</row>
    <row r="455" spans="1:20" ht="15" x14ac:dyDescent="0.2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</row>
    <row r="456" spans="1:20" ht="15" x14ac:dyDescent="0.2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</row>
    <row r="457" spans="1:20" ht="15" x14ac:dyDescent="0.2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</row>
    <row r="458" spans="1:20" ht="15" x14ac:dyDescent="0.2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</row>
    <row r="459" spans="1:20" ht="15" x14ac:dyDescent="0.2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</row>
    <row r="460" spans="1:20" ht="15" x14ac:dyDescent="0.2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</row>
    <row r="461" spans="1:20" ht="15" x14ac:dyDescent="0.2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</row>
    <row r="462" spans="1:20" ht="15" x14ac:dyDescent="0.2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</row>
    <row r="463" spans="1:20" ht="15" x14ac:dyDescent="0.2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</row>
    <row r="464" spans="1:20" ht="15" x14ac:dyDescent="0.2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</row>
    <row r="465" spans="1:20" ht="15" x14ac:dyDescent="0.2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</row>
    <row r="466" spans="1:20" ht="15" x14ac:dyDescent="0.2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</row>
    <row r="467" spans="1:20" ht="15" x14ac:dyDescent="0.2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</row>
    <row r="468" spans="1:20" ht="15" x14ac:dyDescent="0.2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</row>
    <row r="469" spans="1:20" ht="15" x14ac:dyDescent="0.2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</row>
    <row r="470" spans="1:20" ht="15" x14ac:dyDescent="0.2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</row>
    <row r="471" spans="1:20" ht="15" x14ac:dyDescent="0.2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</row>
    <row r="472" spans="1:20" ht="15" x14ac:dyDescent="0.2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</row>
    <row r="473" spans="1:20" ht="15" x14ac:dyDescent="0.25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</row>
    <row r="474" spans="1:20" ht="15" x14ac:dyDescent="0.2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</row>
    <row r="475" spans="1:20" ht="15" x14ac:dyDescent="0.2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</row>
    <row r="476" spans="1:20" ht="15" x14ac:dyDescent="0.2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</row>
    <row r="477" spans="1:20" ht="15" x14ac:dyDescent="0.25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</row>
    <row r="478" spans="1:20" ht="15" x14ac:dyDescent="0.2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</row>
    <row r="479" spans="1:20" ht="15" x14ac:dyDescent="0.2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</row>
    <row r="480" spans="1:20" ht="15" x14ac:dyDescent="0.2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</row>
    <row r="481" spans="1:20" ht="15" x14ac:dyDescent="0.2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</row>
    <row r="482" spans="1:20" ht="15" x14ac:dyDescent="0.2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</row>
    <row r="483" spans="1:20" ht="15" x14ac:dyDescent="0.2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</row>
    <row r="484" spans="1:20" ht="15" x14ac:dyDescent="0.25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</row>
    <row r="485" spans="1:20" ht="15" x14ac:dyDescent="0.2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</row>
    <row r="486" spans="1:20" ht="15" x14ac:dyDescent="0.25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</row>
    <row r="487" spans="1:20" ht="15" x14ac:dyDescent="0.25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</row>
    <row r="488" spans="1:20" ht="15" x14ac:dyDescent="0.25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</row>
    <row r="489" spans="1:20" ht="15" x14ac:dyDescent="0.25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</row>
    <row r="490" spans="1:20" ht="15" x14ac:dyDescent="0.25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</row>
    <row r="491" spans="1:20" ht="15" x14ac:dyDescent="0.25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</row>
    <row r="492" spans="1:20" ht="15" x14ac:dyDescent="0.25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</row>
    <row r="493" spans="1:20" ht="15" x14ac:dyDescent="0.2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</row>
    <row r="494" spans="1:20" ht="15" x14ac:dyDescent="0.25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</row>
    <row r="495" spans="1:20" ht="15" x14ac:dyDescent="0.2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</row>
    <row r="496" spans="1:20" ht="15" x14ac:dyDescent="0.25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</row>
    <row r="497" spans="1:20" ht="15" x14ac:dyDescent="0.25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</row>
    <row r="498" spans="1:20" ht="15" x14ac:dyDescent="0.25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</row>
    <row r="499" spans="1:20" ht="15" x14ac:dyDescent="0.25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</row>
    <row r="500" spans="1:20" ht="15" x14ac:dyDescent="0.25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</row>
    <row r="501" spans="1:20" ht="15" x14ac:dyDescent="0.25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</row>
    <row r="502" spans="1:20" ht="15" x14ac:dyDescent="0.25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</row>
    <row r="503" spans="1:20" ht="15" x14ac:dyDescent="0.25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</row>
    <row r="504" spans="1:20" ht="15" x14ac:dyDescent="0.25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</row>
    <row r="505" spans="1:20" ht="15" x14ac:dyDescent="0.2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</row>
    <row r="506" spans="1:20" ht="15" x14ac:dyDescent="0.25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</row>
    <row r="507" spans="1:20" ht="15" x14ac:dyDescent="0.25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</row>
    <row r="508" spans="1:20" ht="15" x14ac:dyDescent="0.25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</row>
    <row r="509" spans="1:20" ht="15" x14ac:dyDescent="0.25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</row>
    <row r="510" spans="1:20" ht="15" x14ac:dyDescent="0.25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</row>
    <row r="511" spans="1:20" ht="15" x14ac:dyDescent="0.25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</row>
    <row r="512" spans="1:20" ht="15" x14ac:dyDescent="0.25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</row>
    <row r="513" spans="1:20" ht="15" x14ac:dyDescent="0.25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</row>
    <row r="514" spans="1:20" ht="15" x14ac:dyDescent="0.25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</row>
    <row r="515" spans="1:20" ht="15" x14ac:dyDescent="0.2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</row>
    <row r="516" spans="1:20" ht="15" x14ac:dyDescent="0.25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</row>
    <row r="517" spans="1:20" ht="15" x14ac:dyDescent="0.25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</row>
    <row r="518" spans="1:20" ht="15" x14ac:dyDescent="0.25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</row>
    <row r="519" spans="1:20" ht="15" x14ac:dyDescent="0.25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</row>
    <row r="520" spans="1:20" ht="15" x14ac:dyDescent="0.25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</row>
    <row r="521" spans="1:20" ht="15" x14ac:dyDescent="0.25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</row>
    <row r="522" spans="1:20" ht="15" x14ac:dyDescent="0.25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</row>
    <row r="523" spans="1:20" ht="15" x14ac:dyDescent="0.25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</row>
    <row r="524" spans="1:20" ht="15" x14ac:dyDescent="0.25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</row>
    <row r="525" spans="1:20" ht="15" x14ac:dyDescent="0.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</row>
    <row r="526" spans="1:20" ht="15" x14ac:dyDescent="0.25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</row>
    <row r="527" spans="1:20" ht="15" x14ac:dyDescent="0.25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</row>
    <row r="528" spans="1:20" ht="15" x14ac:dyDescent="0.25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</row>
    <row r="529" spans="1:20" ht="15" x14ac:dyDescent="0.25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</row>
    <row r="530" spans="1:20" ht="15" x14ac:dyDescent="0.25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</row>
    <row r="531" spans="1:20" ht="15" x14ac:dyDescent="0.25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</row>
    <row r="532" spans="1:20" ht="15" x14ac:dyDescent="0.25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</row>
    <row r="533" spans="1:20" ht="15" x14ac:dyDescent="0.25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</row>
    <row r="534" spans="1:20" ht="15" x14ac:dyDescent="0.25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</row>
    <row r="535" spans="1:20" ht="15" x14ac:dyDescent="0.2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</row>
    <row r="536" spans="1:20" ht="15" x14ac:dyDescent="0.25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</row>
    <row r="537" spans="1:20" ht="15" x14ac:dyDescent="0.25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</row>
    <row r="538" spans="1:20" ht="15" x14ac:dyDescent="0.25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</row>
    <row r="539" spans="1:20" ht="15" x14ac:dyDescent="0.25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</row>
    <row r="540" spans="1:20" ht="15" x14ac:dyDescent="0.25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</row>
    <row r="541" spans="1:20" ht="15" x14ac:dyDescent="0.25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</row>
    <row r="542" spans="1:20" ht="15" x14ac:dyDescent="0.25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</row>
    <row r="543" spans="1:20" ht="15" x14ac:dyDescent="0.25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</row>
    <row r="544" spans="1:20" ht="15" x14ac:dyDescent="0.25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</row>
    <row r="545" spans="1:20" ht="15" x14ac:dyDescent="0.2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</row>
    <row r="546" spans="1:20" ht="15" x14ac:dyDescent="0.25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</row>
    <row r="547" spans="1:20" ht="15" x14ac:dyDescent="0.25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</row>
    <row r="548" spans="1:20" ht="15" x14ac:dyDescent="0.25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</row>
    <row r="549" spans="1:20" ht="15" x14ac:dyDescent="0.25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</row>
    <row r="550" spans="1:20" ht="15" x14ac:dyDescent="0.25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</row>
    <row r="551" spans="1:20" ht="15" x14ac:dyDescent="0.25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</row>
    <row r="552" spans="1:20" ht="15" x14ac:dyDescent="0.25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</row>
    <row r="553" spans="1:20" ht="15" x14ac:dyDescent="0.25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</row>
    <row r="554" spans="1:20" ht="15" x14ac:dyDescent="0.25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</row>
    <row r="555" spans="1:20" ht="15" x14ac:dyDescent="0.2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</row>
    <row r="556" spans="1:20" ht="15" x14ac:dyDescent="0.25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</row>
    <row r="557" spans="1:20" ht="15" x14ac:dyDescent="0.25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</row>
    <row r="558" spans="1:20" ht="15" x14ac:dyDescent="0.25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</row>
    <row r="559" spans="1:20" ht="15" x14ac:dyDescent="0.25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</row>
    <row r="560" spans="1:20" ht="15" x14ac:dyDescent="0.25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</row>
    <row r="561" spans="1:20" ht="15" x14ac:dyDescent="0.25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</row>
    <row r="562" spans="1:20" ht="15" x14ac:dyDescent="0.25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</row>
    <row r="563" spans="1:20" ht="15" x14ac:dyDescent="0.25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</row>
    <row r="564" spans="1:20" ht="15" x14ac:dyDescent="0.25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</row>
    <row r="565" spans="1:20" ht="15" x14ac:dyDescent="0.2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</row>
    <row r="566" spans="1:20" ht="15" x14ac:dyDescent="0.25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</row>
    <row r="567" spans="1:20" ht="15" x14ac:dyDescent="0.25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</row>
    <row r="568" spans="1:20" ht="15" x14ac:dyDescent="0.25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</row>
    <row r="569" spans="1:20" ht="15" x14ac:dyDescent="0.25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</row>
    <row r="570" spans="1:20" ht="15" x14ac:dyDescent="0.25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</row>
    <row r="571" spans="1:20" ht="15" x14ac:dyDescent="0.25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</row>
    <row r="572" spans="1:20" ht="15" x14ac:dyDescent="0.25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</row>
    <row r="573" spans="1:20" ht="15" x14ac:dyDescent="0.25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</row>
    <row r="574" spans="1:20" ht="15" x14ac:dyDescent="0.25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</row>
    <row r="575" spans="1:20" ht="15" x14ac:dyDescent="0.2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</row>
    <row r="576" spans="1:20" ht="15" x14ac:dyDescent="0.25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</row>
    <row r="577" spans="1:20" ht="15" x14ac:dyDescent="0.25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</row>
    <row r="578" spans="1:20" ht="15" x14ac:dyDescent="0.25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</row>
    <row r="579" spans="1:20" ht="15" x14ac:dyDescent="0.25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</row>
    <row r="580" spans="1:20" ht="15" x14ac:dyDescent="0.25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</row>
    <row r="581" spans="1:20" ht="15" x14ac:dyDescent="0.25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</row>
    <row r="582" spans="1:20" ht="15" x14ac:dyDescent="0.25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</row>
    <row r="583" spans="1:20" ht="15" x14ac:dyDescent="0.25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</row>
    <row r="584" spans="1:20" ht="15" x14ac:dyDescent="0.25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</row>
    <row r="585" spans="1:20" ht="15" x14ac:dyDescent="0.2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</row>
    <row r="586" spans="1:20" ht="15" x14ac:dyDescent="0.25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</row>
    <row r="587" spans="1:20" ht="15" x14ac:dyDescent="0.25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</row>
    <row r="588" spans="1:20" ht="15" x14ac:dyDescent="0.25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</row>
    <row r="589" spans="1:20" ht="15" x14ac:dyDescent="0.25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</row>
    <row r="590" spans="1:20" ht="15" x14ac:dyDescent="0.25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</row>
    <row r="591" spans="1:20" ht="15" x14ac:dyDescent="0.25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</row>
    <row r="592" spans="1:20" ht="15" x14ac:dyDescent="0.25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</row>
    <row r="593" spans="1:20" ht="15" x14ac:dyDescent="0.25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</row>
    <row r="594" spans="1:20" ht="15" x14ac:dyDescent="0.25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</row>
    <row r="595" spans="1:20" ht="15" x14ac:dyDescent="0.2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</row>
    <row r="596" spans="1:20" ht="15" x14ac:dyDescent="0.25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</row>
    <row r="597" spans="1:20" ht="15" x14ac:dyDescent="0.25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</row>
    <row r="598" spans="1:20" ht="15" x14ac:dyDescent="0.25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</row>
    <row r="599" spans="1:20" ht="15" x14ac:dyDescent="0.25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</row>
    <row r="600" spans="1:20" ht="15" x14ac:dyDescent="0.25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</row>
    <row r="601" spans="1:20" ht="15" x14ac:dyDescent="0.25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</row>
    <row r="602" spans="1:20" ht="15" x14ac:dyDescent="0.25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</row>
    <row r="603" spans="1:20" ht="15" x14ac:dyDescent="0.25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</row>
    <row r="604" spans="1:20" ht="15" x14ac:dyDescent="0.25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</row>
    <row r="605" spans="1:20" ht="15" x14ac:dyDescent="0.2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</row>
    <row r="606" spans="1:20" ht="15" x14ac:dyDescent="0.25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</row>
    <row r="607" spans="1:20" ht="15" x14ac:dyDescent="0.25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</row>
    <row r="608" spans="1:20" ht="15" x14ac:dyDescent="0.25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</row>
    <row r="609" spans="1:20" ht="15" x14ac:dyDescent="0.25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</row>
    <row r="610" spans="1:20" ht="15" x14ac:dyDescent="0.25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</row>
    <row r="611" spans="1:20" ht="15" x14ac:dyDescent="0.25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</row>
    <row r="612" spans="1:20" ht="15" x14ac:dyDescent="0.25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</row>
    <row r="613" spans="1:20" ht="15" x14ac:dyDescent="0.25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</row>
    <row r="614" spans="1:20" ht="15" x14ac:dyDescent="0.25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</row>
    <row r="615" spans="1:20" ht="15" x14ac:dyDescent="0.2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</row>
    <row r="616" spans="1:20" ht="15" x14ac:dyDescent="0.25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</row>
    <row r="617" spans="1:20" ht="15" x14ac:dyDescent="0.25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</row>
    <row r="618" spans="1:20" ht="15" x14ac:dyDescent="0.25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</row>
    <row r="619" spans="1:20" ht="15" x14ac:dyDescent="0.25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</row>
    <row r="620" spans="1:20" ht="15" x14ac:dyDescent="0.25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</row>
    <row r="621" spans="1:20" ht="15" x14ac:dyDescent="0.25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</row>
    <row r="622" spans="1:20" ht="15" x14ac:dyDescent="0.25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</row>
    <row r="623" spans="1:20" ht="15" x14ac:dyDescent="0.25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</row>
    <row r="624" spans="1:20" ht="15" x14ac:dyDescent="0.25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</row>
    <row r="625" spans="1:20" ht="15" x14ac:dyDescent="0.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</row>
    <row r="626" spans="1:20" ht="15" x14ac:dyDescent="0.25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</row>
    <row r="627" spans="1:20" ht="15" x14ac:dyDescent="0.25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</row>
    <row r="628" spans="1:20" ht="15" x14ac:dyDescent="0.25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</row>
    <row r="629" spans="1:20" ht="15" x14ac:dyDescent="0.25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</row>
    <row r="630" spans="1:20" ht="15" x14ac:dyDescent="0.25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</row>
    <row r="631" spans="1:20" ht="15" x14ac:dyDescent="0.25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</row>
    <row r="632" spans="1:20" ht="15" x14ac:dyDescent="0.25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</row>
    <row r="633" spans="1:20" ht="15" x14ac:dyDescent="0.25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</row>
    <row r="634" spans="1:20" ht="15" x14ac:dyDescent="0.25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</row>
    <row r="635" spans="1:20" ht="15" x14ac:dyDescent="0.2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</row>
    <row r="636" spans="1:20" ht="15" x14ac:dyDescent="0.25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</row>
    <row r="637" spans="1:20" ht="15" x14ac:dyDescent="0.25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</row>
    <row r="638" spans="1:20" ht="15" x14ac:dyDescent="0.25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</row>
    <row r="639" spans="1:20" ht="15" x14ac:dyDescent="0.25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</row>
    <row r="640" spans="1:20" ht="15" x14ac:dyDescent="0.25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</row>
    <row r="641" spans="1:20" ht="15" x14ac:dyDescent="0.25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</row>
    <row r="642" spans="1:20" ht="15" x14ac:dyDescent="0.25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</row>
    <row r="643" spans="1:20" ht="15" x14ac:dyDescent="0.25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</row>
    <row r="644" spans="1:20" ht="15" x14ac:dyDescent="0.25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</row>
    <row r="645" spans="1:20" ht="15" x14ac:dyDescent="0.2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</row>
    <row r="646" spans="1:20" ht="15" x14ac:dyDescent="0.25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</row>
    <row r="647" spans="1:20" ht="15" x14ac:dyDescent="0.25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</row>
    <row r="648" spans="1:20" ht="15" x14ac:dyDescent="0.25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</row>
    <row r="649" spans="1:20" ht="15" x14ac:dyDescent="0.25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</row>
    <row r="650" spans="1:20" ht="15" x14ac:dyDescent="0.25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</row>
    <row r="651" spans="1:20" ht="15" x14ac:dyDescent="0.25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</row>
    <row r="652" spans="1:20" ht="15" x14ac:dyDescent="0.25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</row>
    <row r="653" spans="1:20" ht="15" x14ac:dyDescent="0.25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</row>
    <row r="654" spans="1:20" ht="15" x14ac:dyDescent="0.25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</row>
    <row r="655" spans="1:20" ht="15" x14ac:dyDescent="0.2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</row>
    <row r="656" spans="1:20" ht="15" x14ac:dyDescent="0.25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</row>
    <row r="657" spans="1:20" ht="15" x14ac:dyDescent="0.25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</row>
    <row r="658" spans="1:20" ht="15" x14ac:dyDescent="0.25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</row>
    <row r="659" spans="1:20" ht="15" x14ac:dyDescent="0.25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</row>
    <row r="660" spans="1:20" ht="15" x14ac:dyDescent="0.25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</row>
    <row r="661" spans="1:20" ht="15" x14ac:dyDescent="0.25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</row>
    <row r="662" spans="1:20" ht="15" x14ac:dyDescent="0.25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</row>
    <row r="663" spans="1:20" ht="15" x14ac:dyDescent="0.25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</row>
    <row r="664" spans="1:20" ht="15" x14ac:dyDescent="0.25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</row>
    <row r="665" spans="1:20" ht="15" x14ac:dyDescent="0.2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</row>
    <row r="666" spans="1:20" ht="15" x14ac:dyDescent="0.25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</row>
    <row r="667" spans="1:20" ht="15" x14ac:dyDescent="0.25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</row>
    <row r="668" spans="1:20" ht="15" x14ac:dyDescent="0.25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</row>
    <row r="669" spans="1:20" ht="15" x14ac:dyDescent="0.25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</row>
    <row r="670" spans="1:20" ht="15" x14ac:dyDescent="0.25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</row>
    <row r="671" spans="1:20" ht="15" x14ac:dyDescent="0.25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</row>
    <row r="672" spans="1:20" ht="15" x14ac:dyDescent="0.25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</row>
    <row r="673" spans="1:20" ht="15" x14ac:dyDescent="0.25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</row>
    <row r="674" spans="1:20" ht="15" x14ac:dyDescent="0.25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</row>
    <row r="675" spans="1:20" ht="15" x14ac:dyDescent="0.2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</row>
    <row r="676" spans="1:20" ht="15" x14ac:dyDescent="0.25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</row>
    <row r="677" spans="1:20" ht="15" x14ac:dyDescent="0.25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</row>
    <row r="678" spans="1:20" ht="15" x14ac:dyDescent="0.25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</row>
    <row r="679" spans="1:20" ht="15" x14ac:dyDescent="0.25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</row>
    <row r="680" spans="1:20" ht="15" x14ac:dyDescent="0.25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</row>
    <row r="681" spans="1:20" ht="15" x14ac:dyDescent="0.25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</row>
    <row r="682" spans="1:20" ht="15" x14ac:dyDescent="0.25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</row>
    <row r="683" spans="1:20" ht="15" x14ac:dyDescent="0.25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</row>
    <row r="684" spans="1:20" ht="15" x14ac:dyDescent="0.25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</row>
    <row r="685" spans="1:20" ht="15" x14ac:dyDescent="0.2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</row>
    <row r="686" spans="1:20" ht="15" x14ac:dyDescent="0.25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</row>
    <row r="687" spans="1:20" ht="15" x14ac:dyDescent="0.25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</row>
    <row r="688" spans="1:20" ht="15" x14ac:dyDescent="0.25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</row>
    <row r="689" spans="1:20" ht="15" x14ac:dyDescent="0.25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</row>
    <row r="690" spans="1:20" ht="15" x14ac:dyDescent="0.25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</row>
    <row r="691" spans="1:20" ht="15" x14ac:dyDescent="0.25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</row>
    <row r="692" spans="1:20" ht="15" x14ac:dyDescent="0.25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</row>
    <row r="693" spans="1:20" ht="15" x14ac:dyDescent="0.25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</row>
    <row r="694" spans="1:20" ht="15" x14ac:dyDescent="0.25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</row>
    <row r="695" spans="1:20" ht="15" x14ac:dyDescent="0.2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</row>
    <row r="696" spans="1:20" ht="15" x14ac:dyDescent="0.25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</row>
    <row r="697" spans="1:20" ht="15" x14ac:dyDescent="0.25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</row>
    <row r="698" spans="1:20" ht="15" x14ac:dyDescent="0.25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</row>
    <row r="699" spans="1:20" ht="15" x14ac:dyDescent="0.25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</row>
    <row r="700" spans="1:20" ht="15" x14ac:dyDescent="0.25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</row>
    <row r="701" spans="1:20" ht="15" x14ac:dyDescent="0.25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</row>
    <row r="702" spans="1:20" ht="15" x14ac:dyDescent="0.25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</row>
    <row r="703" spans="1:20" ht="15" x14ac:dyDescent="0.25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</row>
    <row r="704" spans="1:20" ht="15" x14ac:dyDescent="0.25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</row>
    <row r="705" spans="1:20" ht="15" x14ac:dyDescent="0.2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</row>
    <row r="706" spans="1:20" ht="15" x14ac:dyDescent="0.25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</row>
    <row r="707" spans="1:20" ht="15" x14ac:dyDescent="0.25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</row>
    <row r="708" spans="1:20" ht="15" x14ac:dyDescent="0.25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</row>
    <row r="709" spans="1:20" ht="15" x14ac:dyDescent="0.25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</row>
    <row r="710" spans="1:20" ht="15" x14ac:dyDescent="0.25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</row>
    <row r="711" spans="1:20" ht="15" x14ac:dyDescent="0.25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</row>
    <row r="712" spans="1:20" ht="15" x14ac:dyDescent="0.25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</row>
    <row r="713" spans="1:20" ht="15" x14ac:dyDescent="0.25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</row>
    <row r="714" spans="1:20" ht="15" x14ac:dyDescent="0.25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</row>
    <row r="715" spans="1:20" ht="15" x14ac:dyDescent="0.2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</row>
    <row r="716" spans="1:20" ht="15" x14ac:dyDescent="0.25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</row>
    <row r="717" spans="1:20" ht="15" x14ac:dyDescent="0.25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</row>
    <row r="718" spans="1:20" ht="15" x14ac:dyDescent="0.25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</row>
    <row r="719" spans="1:20" ht="15" x14ac:dyDescent="0.25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</row>
    <row r="720" spans="1:20" ht="15" x14ac:dyDescent="0.25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</row>
    <row r="721" spans="1:20" ht="15" x14ac:dyDescent="0.25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</row>
    <row r="722" spans="1:20" ht="15" x14ac:dyDescent="0.25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</row>
    <row r="723" spans="1:20" ht="15" x14ac:dyDescent="0.25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</row>
    <row r="724" spans="1:20" ht="15" x14ac:dyDescent="0.25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</row>
    <row r="725" spans="1:20" ht="15" x14ac:dyDescent="0.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</row>
    <row r="726" spans="1:20" ht="15" x14ac:dyDescent="0.25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</row>
    <row r="727" spans="1:20" ht="15" x14ac:dyDescent="0.25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</row>
    <row r="728" spans="1:20" ht="15" x14ac:dyDescent="0.25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</row>
    <row r="729" spans="1:20" ht="15" x14ac:dyDescent="0.25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</row>
    <row r="730" spans="1:20" ht="15" x14ac:dyDescent="0.25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</row>
    <row r="731" spans="1:20" ht="15" x14ac:dyDescent="0.25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</row>
    <row r="732" spans="1:20" ht="15" x14ac:dyDescent="0.25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</row>
    <row r="733" spans="1:20" ht="15" x14ac:dyDescent="0.25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</row>
    <row r="734" spans="1:20" ht="15" x14ac:dyDescent="0.25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</row>
    <row r="735" spans="1:20" ht="15" x14ac:dyDescent="0.2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</row>
    <row r="736" spans="1:20" ht="15" x14ac:dyDescent="0.25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</row>
    <row r="737" spans="1:20" ht="15" x14ac:dyDescent="0.25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</row>
    <row r="738" spans="1:20" ht="15" x14ac:dyDescent="0.25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</row>
    <row r="739" spans="1:20" ht="15" x14ac:dyDescent="0.25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</row>
    <row r="740" spans="1:20" ht="15" x14ac:dyDescent="0.25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</row>
    <row r="741" spans="1:20" ht="15" x14ac:dyDescent="0.25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</row>
    <row r="742" spans="1:20" ht="15" x14ac:dyDescent="0.25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</row>
    <row r="743" spans="1:20" ht="15" x14ac:dyDescent="0.25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</row>
    <row r="744" spans="1:20" ht="15" x14ac:dyDescent="0.25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</row>
    <row r="745" spans="1:20" ht="15" x14ac:dyDescent="0.2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</row>
    <row r="746" spans="1:20" ht="15" x14ac:dyDescent="0.25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</row>
    <row r="747" spans="1:20" ht="15" x14ac:dyDescent="0.25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</row>
    <row r="748" spans="1:20" ht="15" x14ac:dyDescent="0.25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</row>
    <row r="749" spans="1:20" ht="15" x14ac:dyDescent="0.25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</row>
    <row r="750" spans="1:20" ht="15" x14ac:dyDescent="0.25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</row>
    <row r="751" spans="1:20" ht="15" x14ac:dyDescent="0.25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</row>
    <row r="752" spans="1:20" ht="15" x14ac:dyDescent="0.25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</row>
    <row r="753" spans="1:20" ht="15" x14ac:dyDescent="0.25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</row>
    <row r="754" spans="1:20" ht="15" x14ac:dyDescent="0.25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</row>
    <row r="755" spans="1:20" ht="15" x14ac:dyDescent="0.2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</row>
    <row r="756" spans="1:20" ht="15" x14ac:dyDescent="0.25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</row>
    <row r="757" spans="1:20" ht="15" x14ac:dyDescent="0.25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</row>
    <row r="758" spans="1:20" ht="15" x14ac:dyDescent="0.25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</row>
    <row r="759" spans="1:20" ht="15" x14ac:dyDescent="0.25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</row>
    <row r="760" spans="1:20" ht="15" x14ac:dyDescent="0.25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</row>
    <row r="761" spans="1:20" ht="15" x14ac:dyDescent="0.25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</row>
    <row r="762" spans="1:20" ht="15" x14ac:dyDescent="0.25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</row>
    <row r="763" spans="1:20" ht="15" x14ac:dyDescent="0.25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</row>
    <row r="764" spans="1:20" ht="15" x14ac:dyDescent="0.25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</row>
    <row r="765" spans="1:20" ht="15" x14ac:dyDescent="0.2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</row>
    <row r="766" spans="1:20" ht="15" x14ac:dyDescent="0.25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</row>
    <row r="767" spans="1:20" ht="15" x14ac:dyDescent="0.25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</row>
    <row r="768" spans="1:20" ht="15" x14ac:dyDescent="0.25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</row>
    <row r="769" spans="1:20" ht="15" x14ac:dyDescent="0.25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</row>
    <row r="770" spans="1:20" ht="15" x14ac:dyDescent="0.25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</row>
    <row r="771" spans="1:20" ht="15" x14ac:dyDescent="0.25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</row>
    <row r="772" spans="1:20" ht="15" x14ac:dyDescent="0.25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</row>
    <row r="773" spans="1:20" ht="15" x14ac:dyDescent="0.25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</row>
    <row r="774" spans="1:20" ht="15" x14ac:dyDescent="0.25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</row>
    <row r="775" spans="1:20" ht="15" x14ac:dyDescent="0.2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</row>
    <row r="776" spans="1:20" ht="15" x14ac:dyDescent="0.25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</row>
    <row r="777" spans="1:20" ht="15" x14ac:dyDescent="0.25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</row>
    <row r="778" spans="1:20" ht="15" x14ac:dyDescent="0.25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</row>
    <row r="779" spans="1:20" ht="15" x14ac:dyDescent="0.25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</row>
    <row r="780" spans="1:20" ht="15" x14ac:dyDescent="0.25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</row>
    <row r="781" spans="1:20" ht="15" x14ac:dyDescent="0.25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</row>
    <row r="782" spans="1:20" ht="15" x14ac:dyDescent="0.25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</row>
    <row r="783" spans="1:20" ht="15" x14ac:dyDescent="0.25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</row>
    <row r="784" spans="1:20" ht="15" x14ac:dyDescent="0.25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</row>
    <row r="785" spans="1:20" ht="15" x14ac:dyDescent="0.2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</row>
    <row r="786" spans="1:20" ht="15" x14ac:dyDescent="0.25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</row>
    <row r="787" spans="1:20" ht="15" x14ac:dyDescent="0.25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</row>
    <row r="788" spans="1:20" ht="15" x14ac:dyDescent="0.25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</row>
    <row r="789" spans="1:20" ht="15" x14ac:dyDescent="0.25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</row>
    <row r="790" spans="1:20" ht="15" x14ac:dyDescent="0.25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</row>
    <row r="791" spans="1:20" ht="15" x14ac:dyDescent="0.25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</row>
    <row r="792" spans="1:20" ht="15" x14ac:dyDescent="0.25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</row>
    <row r="793" spans="1:20" ht="15" x14ac:dyDescent="0.25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</row>
  </sheetData>
  <mergeCells count="1">
    <mergeCell ref="A5:A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DOOR_SILL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OMEN</dc:creator>
  <cp:lastModifiedBy>aman verma</cp:lastModifiedBy>
  <cp:lastPrinted>2026-03-17T15:57:50Z</cp:lastPrinted>
  <dcterms:created xsi:type="dcterms:W3CDTF">2026-03-17T15:57:58Z</dcterms:created>
  <dcterms:modified xsi:type="dcterms:W3CDTF">2026-03-17T15:57:58Z</dcterms:modified>
</cp:coreProperties>
</file>