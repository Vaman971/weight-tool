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13_ncr:1_{5860B2CA-8226-4D67-BB94-EA9AB817F4DC}" xr6:coauthVersionLast="47" xr6:coauthVersionMax="47" xr10:uidLastSave="{00000000-0000-0000-0000-000000000000}"/>
  <bookViews>
    <workbookView xWindow="-108" yWindow="-108" windowWidth="23256" windowHeight="12456" xr2:uid="{1587FE1B-F416-4696-A221-F0F6BAA1F93F}"/>
  </bookViews>
  <sheets>
    <sheet name="GEOMETRY_PROCESS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D6" i="1" s="1"/>
  <c r="E6" i="1" s="1"/>
  <c r="C6" i="1"/>
  <c r="I6" i="1"/>
  <c r="J6" i="1"/>
  <c r="K6" i="1"/>
  <c r="L6" i="1"/>
  <c r="N6" i="1"/>
  <c r="P6" i="1"/>
  <c r="R6" i="1" s="1"/>
  <c r="S6" i="1" s="1"/>
  <c r="Q6" i="1"/>
  <c r="W6" i="1"/>
  <c r="X6" i="1"/>
  <c r="Y6" i="1"/>
  <c r="Z6" i="1"/>
  <c r="AB6" i="1"/>
  <c r="AA6" i="1" s="1"/>
  <c r="B7" i="1"/>
  <c r="D7" i="1" s="1"/>
  <c r="E7" i="1" s="1"/>
  <c r="C7" i="1"/>
  <c r="I7" i="1"/>
  <c r="J7" i="1"/>
  <c r="K7" i="1"/>
  <c r="L7" i="1"/>
  <c r="N7" i="1"/>
  <c r="P7" i="1"/>
  <c r="R7" i="1" s="1"/>
  <c r="S7" i="1" s="1"/>
  <c r="Q7" i="1"/>
  <c r="W7" i="1"/>
  <c r="X7" i="1"/>
  <c r="Y7" i="1"/>
  <c r="Z7" i="1"/>
  <c r="AB7" i="1"/>
  <c r="AA7" i="1" s="1"/>
  <c r="B8" i="1"/>
  <c r="D8" i="1" s="1"/>
  <c r="E8" i="1" s="1"/>
  <c r="C8" i="1"/>
  <c r="I8" i="1"/>
  <c r="J8" i="1"/>
  <c r="K8" i="1"/>
  <c r="L8" i="1"/>
  <c r="N8" i="1"/>
  <c r="M8" i="1" s="1"/>
  <c r="G123" i="1" s="1"/>
  <c r="P8" i="1"/>
  <c r="R8" i="1" s="1"/>
  <c r="S8" i="1" s="1"/>
  <c r="Q8" i="1"/>
  <c r="W8" i="1"/>
  <c r="X8" i="1"/>
  <c r="Y8" i="1"/>
  <c r="Z8" i="1"/>
  <c r="AB8" i="1"/>
  <c r="AA8" i="1" s="1"/>
  <c r="B9" i="1"/>
  <c r="D9" i="1" s="1"/>
  <c r="E9" i="1" s="1"/>
  <c r="C9" i="1"/>
  <c r="I9" i="1"/>
  <c r="J9" i="1"/>
  <c r="K9" i="1"/>
  <c r="L9" i="1"/>
  <c r="N9" i="1"/>
  <c r="M9" i="1" s="1"/>
  <c r="P9" i="1"/>
  <c r="R9" i="1" s="1"/>
  <c r="S9" i="1" s="1"/>
  <c r="Q9" i="1"/>
  <c r="W9" i="1"/>
  <c r="X9" i="1"/>
  <c r="Y9" i="1"/>
  <c r="Z9" i="1"/>
  <c r="AB9" i="1"/>
  <c r="AA9" i="1" s="1"/>
  <c r="B10" i="1"/>
  <c r="D10" i="1" s="1"/>
  <c r="E10" i="1" s="1"/>
  <c r="C10" i="1"/>
  <c r="I10" i="1"/>
  <c r="J10" i="1"/>
  <c r="K10" i="1"/>
  <c r="L10" i="1"/>
  <c r="N10" i="1"/>
  <c r="M10" i="1" s="1"/>
  <c r="P10" i="1"/>
  <c r="R10" i="1" s="1"/>
  <c r="S10" i="1" s="1"/>
  <c r="Q10" i="1"/>
  <c r="W10" i="1"/>
  <c r="X10" i="1"/>
  <c r="Y10" i="1"/>
  <c r="Z10" i="1"/>
  <c r="AB10" i="1"/>
  <c r="AA10" i="1" s="1"/>
  <c r="B11" i="1"/>
  <c r="D11" i="1" s="1"/>
  <c r="E11" i="1" s="1"/>
  <c r="C11" i="1"/>
  <c r="I11" i="1"/>
  <c r="J11" i="1"/>
  <c r="K11" i="1"/>
  <c r="L11" i="1"/>
  <c r="N11" i="1"/>
  <c r="M11" i="1" s="1"/>
  <c r="P11" i="1"/>
  <c r="R11" i="1" s="1"/>
  <c r="S11" i="1" s="1"/>
  <c r="Q11" i="1"/>
  <c r="W11" i="1"/>
  <c r="X11" i="1"/>
  <c r="Y11" i="1"/>
  <c r="Z11" i="1"/>
  <c r="AB11" i="1"/>
  <c r="AA11" i="1" s="1"/>
  <c r="B12" i="1"/>
  <c r="D12" i="1" s="1"/>
  <c r="E12" i="1" s="1"/>
  <c r="C12" i="1"/>
  <c r="I12" i="1"/>
  <c r="J12" i="1"/>
  <c r="K12" i="1"/>
  <c r="L12" i="1"/>
  <c r="N12" i="1"/>
  <c r="M12" i="1" s="1"/>
  <c r="P12" i="1"/>
  <c r="R12" i="1" s="1"/>
  <c r="S12" i="1" s="1"/>
  <c r="Q12" i="1"/>
  <c r="W12" i="1"/>
  <c r="X12" i="1"/>
  <c r="Y12" i="1"/>
  <c r="Z12" i="1"/>
  <c r="AB12" i="1"/>
  <c r="AA12" i="1" s="1"/>
  <c r="B13" i="1"/>
  <c r="D13" i="1" s="1"/>
  <c r="E13" i="1" s="1"/>
  <c r="C13" i="1"/>
  <c r="I13" i="1"/>
  <c r="J13" i="1"/>
  <c r="K13" i="1"/>
  <c r="L13" i="1"/>
  <c r="N13" i="1"/>
  <c r="M13" i="1" s="1"/>
  <c r="P13" i="1"/>
  <c r="R13" i="1" s="1"/>
  <c r="S13" i="1" s="1"/>
  <c r="Q13" i="1"/>
  <c r="W13" i="1"/>
  <c r="X13" i="1"/>
  <c r="Y13" i="1"/>
  <c r="Z13" i="1"/>
  <c r="AB13" i="1"/>
  <c r="AA13" i="1" s="1"/>
  <c r="B14" i="1"/>
  <c r="D14" i="1" s="1"/>
  <c r="E14" i="1" s="1"/>
  <c r="C14" i="1"/>
  <c r="I14" i="1"/>
  <c r="J14" i="1"/>
  <c r="K14" i="1"/>
  <c r="L14" i="1"/>
  <c r="N14" i="1"/>
  <c r="M14" i="1" s="1"/>
  <c r="P14" i="1"/>
  <c r="R14" i="1" s="1"/>
  <c r="S14" i="1" s="1"/>
  <c r="Q14" i="1"/>
  <c r="W14" i="1"/>
  <c r="X14" i="1"/>
  <c r="Y14" i="1"/>
  <c r="Z14" i="1"/>
  <c r="AB14" i="1"/>
  <c r="AA14" i="1" s="1"/>
  <c r="B15" i="1"/>
  <c r="D15" i="1" s="1"/>
  <c r="E15" i="1" s="1"/>
  <c r="C15" i="1"/>
  <c r="I15" i="1"/>
  <c r="J15" i="1"/>
  <c r="K15" i="1"/>
  <c r="L15" i="1"/>
  <c r="N15" i="1"/>
  <c r="M15" i="1" s="1"/>
  <c r="P15" i="1"/>
  <c r="R15" i="1" s="1"/>
  <c r="S15" i="1" s="1"/>
  <c r="Q15" i="1"/>
  <c r="W15" i="1"/>
  <c r="X15" i="1"/>
  <c r="Y15" i="1"/>
  <c r="Z15" i="1"/>
  <c r="AB15" i="1"/>
  <c r="AA15" i="1" s="1"/>
  <c r="B16" i="1"/>
  <c r="D16" i="1" s="1"/>
  <c r="E16" i="1" s="1"/>
  <c r="C16" i="1"/>
  <c r="I16" i="1"/>
  <c r="J16" i="1"/>
  <c r="K16" i="1"/>
  <c r="L16" i="1"/>
  <c r="N16" i="1"/>
  <c r="M16" i="1" s="1"/>
  <c r="P16" i="1"/>
  <c r="R16" i="1" s="1"/>
  <c r="S16" i="1" s="1"/>
  <c r="Q16" i="1"/>
  <c r="W16" i="1"/>
  <c r="X16" i="1"/>
  <c r="Y16" i="1"/>
  <c r="Z16" i="1"/>
  <c r="AB16" i="1"/>
  <c r="AA16" i="1" s="1"/>
  <c r="B17" i="1"/>
  <c r="D17" i="1" s="1"/>
  <c r="E17" i="1" s="1"/>
  <c r="C17" i="1"/>
  <c r="I17" i="1"/>
  <c r="J17" i="1"/>
  <c r="K17" i="1"/>
  <c r="L17" i="1"/>
  <c r="N17" i="1"/>
  <c r="M17" i="1" s="1"/>
  <c r="P17" i="1"/>
  <c r="R17" i="1" s="1"/>
  <c r="S17" i="1" s="1"/>
  <c r="Q17" i="1"/>
  <c r="W17" i="1"/>
  <c r="X17" i="1"/>
  <c r="Y17" i="1"/>
  <c r="Z17" i="1"/>
  <c r="AB17" i="1"/>
  <c r="AA17" i="1" s="1"/>
  <c r="B18" i="1"/>
  <c r="D18" i="1" s="1"/>
  <c r="E18" i="1" s="1"/>
  <c r="C18" i="1"/>
  <c r="I18" i="1"/>
  <c r="J18" i="1"/>
  <c r="K18" i="1"/>
  <c r="L18" i="1"/>
  <c r="N18" i="1"/>
  <c r="M18" i="1" s="1"/>
  <c r="P18" i="1"/>
  <c r="R18" i="1" s="1"/>
  <c r="S18" i="1" s="1"/>
  <c r="Q18" i="1"/>
  <c r="W18" i="1"/>
  <c r="X18" i="1"/>
  <c r="Y18" i="1"/>
  <c r="Z18" i="1"/>
  <c r="AB18" i="1"/>
  <c r="AA18" i="1" s="1"/>
  <c r="B19" i="1"/>
  <c r="D19" i="1" s="1"/>
  <c r="E19" i="1" s="1"/>
  <c r="C19" i="1"/>
  <c r="I19" i="1"/>
  <c r="J19" i="1"/>
  <c r="K19" i="1"/>
  <c r="L19" i="1"/>
  <c r="N19" i="1"/>
  <c r="M19" i="1" s="1"/>
  <c r="P19" i="1"/>
  <c r="R19" i="1" s="1"/>
  <c r="S19" i="1" s="1"/>
  <c r="Q19" i="1"/>
  <c r="W19" i="1"/>
  <c r="X19" i="1"/>
  <c r="Y19" i="1"/>
  <c r="Z19" i="1"/>
  <c r="AB19" i="1"/>
  <c r="AA19" i="1" s="1"/>
  <c r="B20" i="1"/>
  <c r="D20" i="1" s="1"/>
  <c r="E20" i="1" s="1"/>
  <c r="C20" i="1"/>
  <c r="I20" i="1"/>
  <c r="J20" i="1"/>
  <c r="K20" i="1"/>
  <c r="L20" i="1"/>
  <c r="N20" i="1"/>
  <c r="M20" i="1" s="1"/>
  <c r="P20" i="1"/>
  <c r="R20" i="1" s="1"/>
  <c r="S20" i="1" s="1"/>
  <c r="Q20" i="1"/>
  <c r="W20" i="1"/>
  <c r="X20" i="1"/>
  <c r="Y20" i="1"/>
  <c r="Z20" i="1"/>
  <c r="AB20" i="1"/>
  <c r="AA20" i="1" s="1"/>
  <c r="B21" i="1"/>
  <c r="D21" i="1" s="1"/>
  <c r="E21" i="1" s="1"/>
  <c r="C21" i="1"/>
  <c r="I21" i="1"/>
  <c r="J21" i="1"/>
  <c r="K21" i="1"/>
  <c r="L21" i="1"/>
  <c r="N21" i="1"/>
  <c r="M21" i="1" s="1"/>
  <c r="P21" i="1"/>
  <c r="R21" i="1" s="1"/>
  <c r="S21" i="1" s="1"/>
  <c r="Q21" i="1"/>
  <c r="W21" i="1"/>
  <c r="X21" i="1"/>
  <c r="Y21" i="1"/>
  <c r="Z21" i="1"/>
  <c r="AB21" i="1"/>
  <c r="AA21" i="1" s="1"/>
  <c r="B22" i="1"/>
  <c r="D22" i="1" s="1"/>
  <c r="E22" i="1" s="1"/>
  <c r="C22" i="1"/>
  <c r="I22" i="1"/>
  <c r="J22" i="1"/>
  <c r="K22" i="1"/>
  <c r="L22" i="1"/>
  <c r="N22" i="1"/>
  <c r="M22" i="1" s="1"/>
  <c r="P22" i="1"/>
  <c r="R22" i="1" s="1"/>
  <c r="S22" i="1" s="1"/>
  <c r="Q22" i="1"/>
  <c r="W22" i="1"/>
  <c r="X22" i="1"/>
  <c r="Y22" i="1"/>
  <c r="Z22" i="1"/>
  <c r="AA22" i="1"/>
  <c r="AB22" i="1"/>
  <c r="B23" i="1"/>
  <c r="D23" i="1" s="1"/>
  <c r="E23" i="1" s="1"/>
  <c r="C23" i="1"/>
  <c r="I23" i="1"/>
  <c r="J23" i="1"/>
  <c r="K23" i="1"/>
  <c r="L23" i="1"/>
  <c r="N23" i="1"/>
  <c r="M23" i="1" s="1"/>
  <c r="P23" i="1"/>
  <c r="R23" i="1" s="1"/>
  <c r="S23" i="1" s="1"/>
  <c r="Q23" i="1"/>
  <c r="W23" i="1"/>
  <c r="X23" i="1"/>
  <c r="Y23" i="1"/>
  <c r="Z23" i="1"/>
  <c r="AA23" i="1"/>
  <c r="AB23" i="1"/>
  <c r="B30" i="1"/>
  <c r="D30" i="1" s="1"/>
  <c r="C30" i="1"/>
  <c r="B31" i="1"/>
  <c r="D31" i="1" s="1"/>
  <c r="C31" i="1"/>
  <c r="D35" i="1"/>
  <c r="D48" i="1" s="1"/>
  <c r="D43" i="1"/>
  <c r="D44" i="1"/>
  <c r="D46" i="1" s="1"/>
  <c r="D50" i="1" s="1"/>
  <c r="C85" i="1"/>
  <c r="F85" i="1"/>
  <c r="C86" i="1"/>
  <c r="F86" i="1"/>
  <c r="C87" i="1"/>
  <c r="F87" i="1"/>
  <c r="C88" i="1"/>
  <c r="F88" i="1"/>
  <c r="C89" i="1"/>
  <c r="F89" i="1"/>
  <c r="C90" i="1"/>
  <c r="F90" i="1"/>
  <c r="C91" i="1"/>
  <c r="F91" i="1"/>
  <c r="C92" i="1"/>
  <c r="F92" i="1"/>
  <c r="C93" i="1"/>
  <c r="F93" i="1"/>
  <c r="C94" i="1"/>
  <c r="F94" i="1"/>
  <c r="C95" i="1"/>
  <c r="F95" i="1"/>
  <c r="C96" i="1"/>
  <c r="F96" i="1"/>
  <c r="C102" i="1"/>
  <c r="F102" i="1"/>
  <c r="C103" i="1"/>
  <c r="F103" i="1"/>
  <c r="C104" i="1"/>
  <c r="F104" i="1"/>
  <c r="C105" i="1"/>
  <c r="F105" i="1"/>
  <c r="C106" i="1"/>
  <c r="F106" i="1"/>
  <c r="C107" i="1"/>
  <c r="F107" i="1"/>
  <c r="C108" i="1"/>
  <c r="F108" i="1"/>
  <c r="C109" i="1"/>
  <c r="F109" i="1"/>
  <c r="C110" i="1"/>
  <c r="F110" i="1"/>
  <c r="C111" i="1"/>
  <c r="F111" i="1"/>
  <c r="C112" i="1"/>
  <c r="F112" i="1"/>
  <c r="C113" i="1"/>
  <c r="F113" i="1"/>
  <c r="C119" i="1"/>
  <c r="F119" i="1"/>
  <c r="C120" i="1"/>
  <c r="F120" i="1"/>
  <c r="C121" i="1"/>
  <c r="F121" i="1"/>
  <c r="C122" i="1"/>
  <c r="F122" i="1"/>
  <c r="C123" i="1"/>
  <c r="F123" i="1"/>
  <c r="F22" i="1" l="1"/>
  <c r="G22" i="1"/>
  <c r="T19" i="1"/>
  <c r="U19" i="1"/>
  <c r="U13" i="1"/>
  <c r="T13" i="1" s="1"/>
  <c r="U7" i="1"/>
  <c r="T7" i="1" s="1"/>
  <c r="H121" i="1"/>
  <c r="M7" i="1"/>
  <c r="G121" i="1" s="1"/>
  <c r="T16" i="1"/>
  <c r="U16" i="1"/>
  <c r="T10" i="1"/>
  <c r="U10" i="1"/>
  <c r="F17" i="1"/>
  <c r="G17" i="1"/>
  <c r="G11" i="1"/>
  <c r="F11" i="1" s="1"/>
  <c r="U23" i="1"/>
  <c r="T23" i="1" s="1"/>
  <c r="G16" i="1"/>
  <c r="F10" i="1"/>
  <c r="G10" i="1"/>
  <c r="T18" i="1"/>
  <c r="U18" i="1"/>
  <c r="T12" i="1"/>
  <c r="U12" i="1"/>
  <c r="G21" i="1"/>
  <c r="F21" i="1" s="1"/>
  <c r="G15" i="1"/>
  <c r="F15" i="1" s="1"/>
  <c r="G9" i="1"/>
  <c r="F9" i="1" s="1"/>
  <c r="M6" i="1"/>
  <c r="G119" i="1" s="1"/>
  <c r="H119" i="1"/>
  <c r="T22" i="1"/>
  <c r="U22" i="1"/>
  <c r="F20" i="1"/>
  <c r="G20" i="1"/>
  <c r="G8" i="1"/>
  <c r="E123" i="1" s="1"/>
  <c r="U21" i="1"/>
  <c r="T21" i="1" s="1"/>
  <c r="G7" i="1"/>
  <c r="E121" i="1" s="1"/>
  <c r="H123" i="1"/>
  <c r="U15" i="1"/>
  <c r="G23" i="1"/>
  <c r="F23" i="1" s="1"/>
  <c r="G18" i="1"/>
  <c r="F18" i="1" s="1"/>
  <c r="G12" i="1"/>
  <c r="F12" i="1" s="1"/>
  <c r="U6" i="1"/>
  <c r="T6" i="1" s="1"/>
  <c r="U17" i="1"/>
  <c r="U11" i="1"/>
  <c r="T11" i="1" s="1"/>
  <c r="D33" i="1"/>
  <c r="D37" i="1" s="1"/>
  <c r="F14" i="1"/>
  <c r="G14" i="1"/>
  <c r="G19" i="1"/>
  <c r="G13" i="1"/>
  <c r="U9" i="1"/>
  <c r="T20" i="1"/>
  <c r="U20" i="1"/>
  <c r="T14" i="1"/>
  <c r="U14" i="1"/>
  <c r="T8" i="1"/>
  <c r="U8" i="1"/>
  <c r="G6" i="1"/>
  <c r="E119" i="1" s="1"/>
  <c r="T9" i="1" l="1"/>
  <c r="F6" i="1"/>
  <c r="D119" i="1" s="1"/>
  <c r="F19" i="1"/>
  <c r="F8" i="1"/>
  <c r="D123" i="1" s="1"/>
  <c r="J122" i="1" s="1"/>
  <c r="E122" i="1" s="1"/>
  <c r="G120" i="1"/>
  <c r="M120" i="1"/>
  <c r="H120" i="1" s="1"/>
  <c r="F7" i="1"/>
  <c r="D121" i="1" s="1"/>
  <c r="F13" i="1"/>
  <c r="T17" i="1"/>
  <c r="F16" i="1"/>
  <c r="T15" i="1"/>
  <c r="M122" i="1"/>
  <c r="G122" i="1" s="1"/>
  <c r="H122" i="1" l="1"/>
  <c r="J120" i="1"/>
  <c r="E120" i="1" s="1"/>
  <c r="D122" i="1"/>
  <c r="D120" i="1" l="1"/>
</calcChain>
</file>

<file path=xl/sharedStrings.xml><?xml version="1.0" encoding="utf-8"?>
<sst xmlns="http://schemas.openxmlformats.org/spreadsheetml/2006/main" count="117" uniqueCount="36">
  <si>
    <t>S3</t>
  </si>
  <si>
    <t>mm</t>
  </si>
  <si>
    <t>Length_AFT</t>
  </si>
  <si>
    <t>Length_FWD</t>
  </si>
  <si>
    <t>BTM</t>
  </si>
  <si>
    <t>S2</t>
  </si>
  <si>
    <t>TOP</t>
  </si>
  <si>
    <t>S1</t>
  </si>
  <si>
    <t>Z</t>
  </si>
  <si>
    <t>Y</t>
  </si>
  <si>
    <t>X</t>
  </si>
  <si>
    <t>STRINGER</t>
  </si>
  <si>
    <t>AFT</t>
  </si>
  <si>
    <t>FWD</t>
  </si>
  <si>
    <t>Generate FRAME DATUM Intercepts for the DOOR LINTEL WEB</t>
  </si>
  <si>
    <t>Generate STRINGER &amp; FRAME DATUM Intercepts at the FWD &amp; AFT DOOR FRAME locations and at the FLOOR DATUM</t>
  </si>
  <si>
    <t>Generate STRINGER &amp; FRAME Datum Intercepts at FWD &amp; AFT DOOR FRAME locations</t>
  </si>
  <si>
    <t>Derive a function for the DOOR SKIN coordinates between the FWD DOOR CUTOUT FRAME and FWD DOOR FRAME</t>
  </si>
  <si>
    <t>a =</t>
  </si>
  <si>
    <t xml:space="preserve">b = </t>
  </si>
  <si>
    <t>= c</t>
  </si>
  <si>
    <t>Average =</t>
  </si>
  <si>
    <t>RADIUS 1</t>
  </si>
  <si>
    <t>b</t>
  </si>
  <si>
    <t>a</t>
  </si>
  <si>
    <t>Interpolate in Z-Axis at FWD DOOR FRAME location to derive Y-position of UPPER FLANGE of FWD DOOR SILL</t>
  </si>
  <si>
    <t>Interpolate in Z-Axis at FWD DOOR FRAME location to derive Y-position of LOWER FLANGE of FWD DOOR SILL</t>
  </si>
  <si>
    <t>Sign change</t>
  </si>
  <si>
    <t>Z2</t>
  </si>
  <si>
    <t>Y2</t>
  </si>
  <si>
    <t>RADIUS 2</t>
  </si>
  <si>
    <t>c</t>
  </si>
  <si>
    <t>Derive a function for the curvature of the CUT-OUT_AFT_DATUM:-</t>
  </si>
  <si>
    <t>Derive a function for the curvature of the CUT-OUT_FWD_DATUM:-</t>
  </si>
  <si>
    <t>Derive a function for the curvature of the APERTURE_AFT_DATUM:-</t>
  </si>
  <si>
    <t>Derive a function for the curvature of the APERTURE_FWD_DATUM:-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</si>
</sst>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color rgb="FF34A853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2"/>
      <color rgb="FFFF0000"/>
      <name val="Arial"/>
      <family val="2"/>
      <scheme val="minor"/>
    </font>
    <font>
      <sz val="10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5" fillId="2" borderId="1" xfId="0" applyFont="1" applyFill="1" applyBorder="1"/>
    <xf numFmtId="0" fontId="6" fillId="0" borderId="2" xfId="0" applyFont="1" applyBorder="1"/>
    <xf numFmtId="0" fontId="6" fillId="0" borderId="3" xfId="0" applyFont="1" applyBorder="1"/>
    <xf numFmtId="0" fontId="5" fillId="2" borderId="4" xfId="0" applyFont="1" applyFill="1" applyBorder="1" applyAlignment="1">
      <alignment horizontal="center"/>
    </xf>
    <xf numFmtId="0" fontId="5" fillId="0" borderId="0" xfId="0" applyFont="1"/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7" fillId="2" borderId="1" xfId="0" applyFont="1" applyFill="1" applyBorder="1"/>
    <xf numFmtId="0" fontId="7" fillId="2" borderId="4" xfId="0" applyFont="1" applyFill="1" applyBorder="1" applyAlignment="1">
      <alignment horizontal="center"/>
    </xf>
    <xf numFmtId="0" fontId="7" fillId="0" borderId="0" xfId="0" applyFont="1"/>
    <xf numFmtId="164" fontId="1" fillId="0" borderId="0" xfId="0" applyNumberFormat="1" applyFont="1"/>
    <xf numFmtId="0" fontId="8" fillId="2" borderId="1" xfId="0" applyFont="1" applyFill="1" applyBorder="1"/>
    <xf numFmtId="164" fontId="1" fillId="3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quotePrefix="1" applyFont="1"/>
    <xf numFmtId="1" fontId="1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2" borderId="0" xfId="0" applyFont="1" applyFill="1"/>
    <xf numFmtId="164" fontId="3" fillId="2" borderId="1" xfId="0" applyNumberFormat="1" applyFont="1" applyFill="1" applyBorder="1" applyAlignment="1">
      <alignment horizontal="left"/>
    </xf>
    <xf numFmtId="0" fontId="9" fillId="0" borderId="0" xfId="0" applyFont="1"/>
    <xf numFmtId="0" fontId="5" fillId="2" borderId="1" xfId="0" applyFont="1" applyFill="1" applyBorder="1" applyAlignment="1">
      <alignment horizontal="lef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Z vs. 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GEOMETRY_PROCESSING!$D$54</c:f>
              <c:strCache>
                <c:ptCount val="1"/>
                <c:pt idx="0">
                  <c:v>Z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GEOMETRY_PROCESSING!$C$55:$C$79</c:f>
              <c:numCache>
                <c:formatCode>0.0</c:formatCode>
                <c:ptCount val="25"/>
                <c:pt idx="0">
                  <c:v>-111.8</c:v>
                </c:pt>
                <c:pt idx="1">
                  <c:v>-362.2</c:v>
                </c:pt>
                <c:pt idx="2">
                  <c:v>-591</c:v>
                </c:pt>
                <c:pt idx="3">
                  <c:v>-853.1</c:v>
                </c:pt>
                <c:pt idx="4">
                  <c:v>-1069.4000000000001</c:v>
                </c:pt>
                <c:pt idx="5">
                  <c:v>-1248.7</c:v>
                </c:pt>
                <c:pt idx="6">
                  <c:v>-1405.2</c:v>
                </c:pt>
                <c:pt idx="7">
                  <c:v>-1539.2</c:v>
                </c:pt>
                <c:pt idx="8">
                  <c:v>-1652.9</c:v>
                </c:pt>
                <c:pt idx="9">
                  <c:v>-1739.9</c:v>
                </c:pt>
                <c:pt idx="10">
                  <c:v>-1798</c:v>
                </c:pt>
                <c:pt idx="11">
                  <c:v>-1826.7</c:v>
                </c:pt>
                <c:pt idx="12">
                  <c:v>-1827.4</c:v>
                </c:pt>
                <c:pt idx="13">
                  <c:v>-1798.7</c:v>
                </c:pt>
                <c:pt idx="14">
                  <c:v>-1751</c:v>
                </c:pt>
                <c:pt idx="15">
                  <c:v>-1670.5</c:v>
                </c:pt>
                <c:pt idx="16">
                  <c:v>-1565</c:v>
                </c:pt>
                <c:pt idx="17">
                  <c:v>-1436.2</c:v>
                </c:pt>
                <c:pt idx="18">
                  <c:v>-1286.2</c:v>
                </c:pt>
                <c:pt idx="19">
                  <c:v>-1118.5999999999999</c:v>
                </c:pt>
                <c:pt idx="20">
                  <c:v>-929.5</c:v>
                </c:pt>
                <c:pt idx="21">
                  <c:v>-722.1</c:v>
                </c:pt>
                <c:pt idx="22">
                  <c:v>-526.29999999999995</c:v>
                </c:pt>
                <c:pt idx="23">
                  <c:v>-321.89999999999998</c:v>
                </c:pt>
                <c:pt idx="24">
                  <c:v>-111.9</c:v>
                </c:pt>
              </c:numCache>
            </c:numRef>
          </c:xVal>
          <c:yVal>
            <c:numRef>
              <c:f>GEOMETRY_PROCESSING!$D$55:$D$79</c:f>
              <c:numCache>
                <c:formatCode>0.0</c:formatCode>
                <c:ptCount val="25"/>
                <c:pt idx="0">
                  <c:v>2393.1</c:v>
                </c:pt>
                <c:pt idx="1">
                  <c:v>2343.3000000000002</c:v>
                </c:pt>
                <c:pt idx="2">
                  <c:v>2275</c:v>
                </c:pt>
                <c:pt idx="3">
                  <c:v>2134.3000000000002</c:v>
                </c:pt>
                <c:pt idx="4">
                  <c:v>1970.3</c:v>
                </c:pt>
                <c:pt idx="5">
                  <c:v>1794</c:v>
                </c:pt>
                <c:pt idx="6">
                  <c:v>1601</c:v>
                </c:pt>
                <c:pt idx="7">
                  <c:v>1393.8</c:v>
                </c:pt>
                <c:pt idx="8">
                  <c:v>1168.5</c:v>
                </c:pt>
                <c:pt idx="9">
                  <c:v>934.4</c:v>
                </c:pt>
                <c:pt idx="10">
                  <c:v>695</c:v>
                </c:pt>
                <c:pt idx="11">
                  <c:v>450.1</c:v>
                </c:pt>
                <c:pt idx="12">
                  <c:v>206.5</c:v>
                </c:pt>
                <c:pt idx="13">
                  <c:v>-9.6999999999999993</c:v>
                </c:pt>
                <c:pt idx="14">
                  <c:v>-208.5</c:v>
                </c:pt>
                <c:pt idx="15">
                  <c:v>-432.6</c:v>
                </c:pt>
                <c:pt idx="16">
                  <c:v>-646.9</c:v>
                </c:pt>
                <c:pt idx="17">
                  <c:v>-848.8</c:v>
                </c:pt>
                <c:pt idx="18">
                  <c:v>-1035.9000000000001</c:v>
                </c:pt>
                <c:pt idx="19">
                  <c:v>-1203.3</c:v>
                </c:pt>
                <c:pt idx="20">
                  <c:v>-1346.6</c:v>
                </c:pt>
                <c:pt idx="21">
                  <c:v>-1463.3</c:v>
                </c:pt>
                <c:pt idx="22">
                  <c:v>-1542.4</c:v>
                </c:pt>
                <c:pt idx="23">
                  <c:v>-1597</c:v>
                </c:pt>
                <c:pt idx="24">
                  <c:v>-1625.3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F7-4E05-8E89-D425968D8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305840"/>
        <c:axId val="1048425490"/>
      </c:scatterChart>
      <c:valAx>
        <c:axId val="4083058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8425490"/>
        <c:crosses val="autoZero"/>
        <c:crossBetween val="midCat"/>
      </c:valAx>
      <c:valAx>
        <c:axId val="1048425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Z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30584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52</xdr:row>
      <xdr:rowOff>161925</xdr:rowOff>
    </xdr:from>
    <xdr:ext cx="192405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38772D86-E4C9-4AD4-BDD5-8C4AE0694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6">
          <cell r="O6">
            <v>38624.400000000001</v>
          </cell>
          <cell r="P6">
            <v>1037.8</v>
          </cell>
          <cell r="Q6">
            <v>1658.1</v>
          </cell>
          <cell r="U6">
            <v>993.2</v>
          </cell>
          <cell r="V6">
            <v>1653.7</v>
          </cell>
          <cell r="AE6">
            <v>1045.8</v>
          </cell>
          <cell r="AF6">
            <v>1641.7</v>
          </cell>
          <cell r="AJ6">
            <v>946.7</v>
          </cell>
          <cell r="AK6">
            <v>1627.5</v>
          </cell>
        </row>
        <row r="7">
          <cell r="P7">
            <v>1220.8</v>
          </cell>
          <cell r="Q7">
            <v>1488.4</v>
          </cell>
          <cell r="U7">
            <v>1126.3</v>
          </cell>
          <cell r="V7">
            <v>1519.2</v>
          </cell>
          <cell r="AE7">
            <v>1181.5999999999999</v>
          </cell>
          <cell r="AF7">
            <v>1543.5</v>
          </cell>
          <cell r="AJ7">
            <v>1059.2</v>
          </cell>
          <cell r="AK7">
            <v>1543.5</v>
          </cell>
        </row>
        <row r="8">
          <cell r="P8">
            <v>1278.7</v>
          </cell>
          <cell r="Q8">
            <v>1434.6</v>
          </cell>
          <cell r="U8">
            <v>1216.7</v>
          </cell>
          <cell r="V8">
            <v>1434.6</v>
          </cell>
          <cell r="AE8">
            <v>1301.9000000000001</v>
          </cell>
          <cell r="AF8">
            <v>1429.6</v>
          </cell>
          <cell r="AJ8">
            <v>1171.7</v>
          </cell>
          <cell r="AK8">
            <v>1429.6</v>
          </cell>
        </row>
        <row r="9">
          <cell r="C9">
            <v>38624.400000000001</v>
          </cell>
          <cell r="P9">
            <v>1402.9</v>
          </cell>
          <cell r="Q9">
            <v>1300.5999999999999</v>
          </cell>
          <cell r="U9">
            <v>1313.7</v>
          </cell>
          <cell r="V9">
            <v>1327.2</v>
          </cell>
          <cell r="AE9">
            <v>1422.2</v>
          </cell>
          <cell r="AF9">
            <v>1315.6</v>
          </cell>
          <cell r="AJ9">
            <v>1284.3</v>
          </cell>
          <cell r="AK9">
            <v>1315.6</v>
          </cell>
        </row>
        <row r="10">
          <cell r="C10">
            <v>39604.400000000001</v>
          </cell>
          <cell r="P10">
            <v>1489.7</v>
          </cell>
          <cell r="Q10">
            <v>1187.3</v>
          </cell>
          <cell r="U10">
            <v>1417.6</v>
          </cell>
          <cell r="V10">
            <v>1187.3</v>
          </cell>
          <cell r="AE10">
            <v>1512.8</v>
          </cell>
          <cell r="AF10">
            <v>1193.7</v>
          </cell>
          <cell r="AJ10">
            <v>1363.8</v>
          </cell>
          <cell r="AK10">
            <v>1193.7</v>
          </cell>
        </row>
        <row r="11">
          <cell r="P11">
            <v>1571.7</v>
          </cell>
          <cell r="Q11">
            <v>1061.0999999999999</v>
          </cell>
          <cell r="U11">
            <v>1482.4</v>
          </cell>
          <cell r="V11">
            <v>1079.5</v>
          </cell>
          <cell r="AE11">
            <v>1603.4</v>
          </cell>
          <cell r="AF11">
            <v>1071.7</v>
          </cell>
          <cell r="AJ11">
            <v>1443.3</v>
          </cell>
          <cell r="AK11">
            <v>1071.7</v>
          </cell>
        </row>
        <row r="12">
          <cell r="C12">
            <v>-508.5</v>
          </cell>
          <cell r="P12">
            <v>1632.6</v>
          </cell>
          <cell r="Q12">
            <v>950.7</v>
          </cell>
          <cell r="U12">
            <v>1545.2</v>
          </cell>
          <cell r="V12">
            <v>950.7</v>
          </cell>
          <cell r="AE12">
            <v>1669.8</v>
          </cell>
          <cell r="AF12">
            <v>948.2</v>
          </cell>
          <cell r="AJ12">
            <v>1488.6</v>
          </cell>
          <cell r="AK12">
            <v>948.2</v>
          </cell>
        </row>
        <row r="13">
          <cell r="P13">
            <v>1692.2</v>
          </cell>
          <cell r="Q13">
            <v>820.3</v>
          </cell>
          <cell r="U13">
            <v>1590.1</v>
          </cell>
          <cell r="V13">
            <v>827.2</v>
          </cell>
          <cell r="AE13">
            <v>1736.2</v>
          </cell>
          <cell r="AF13">
            <v>824.7</v>
          </cell>
          <cell r="AJ13">
            <v>1533.9</v>
          </cell>
          <cell r="AK13">
            <v>824.7</v>
          </cell>
        </row>
        <row r="14">
          <cell r="P14">
            <v>1744.9</v>
          </cell>
          <cell r="Q14">
            <v>672.3</v>
          </cell>
          <cell r="U14">
            <v>1628.8</v>
          </cell>
          <cell r="V14">
            <v>672.3</v>
          </cell>
          <cell r="AE14">
            <v>1788.9</v>
          </cell>
          <cell r="AF14">
            <v>670</v>
          </cell>
          <cell r="AJ14">
            <v>1556.1</v>
          </cell>
          <cell r="AK14">
            <v>670</v>
          </cell>
        </row>
        <row r="15">
          <cell r="P15">
            <v>1784.1</v>
          </cell>
          <cell r="Q15">
            <v>515</v>
          </cell>
          <cell r="U15">
            <v>1652</v>
          </cell>
          <cell r="V15">
            <v>513.1</v>
          </cell>
          <cell r="AE15">
            <v>1841.6</v>
          </cell>
          <cell r="AF15">
            <v>515.20000000000005</v>
          </cell>
          <cell r="AJ15">
            <v>1578.3</v>
          </cell>
          <cell r="AK15">
            <v>515.20000000000005</v>
          </cell>
        </row>
        <row r="16">
          <cell r="P16">
            <v>1808.6</v>
          </cell>
          <cell r="Q16">
            <v>354.5</v>
          </cell>
          <cell r="U16">
            <v>1661.7</v>
          </cell>
          <cell r="V16">
            <v>354.5</v>
          </cell>
          <cell r="AE16">
            <v>1864.1</v>
          </cell>
          <cell r="AF16">
            <v>353.3</v>
          </cell>
          <cell r="AJ16">
            <v>1580.3</v>
          </cell>
          <cell r="AK16">
            <v>353.3</v>
          </cell>
        </row>
        <row r="17">
          <cell r="P17">
            <v>1817.1</v>
          </cell>
          <cell r="Q17">
            <v>190.7</v>
          </cell>
          <cell r="U17">
            <v>1662.3</v>
          </cell>
          <cell r="V17">
            <v>192</v>
          </cell>
          <cell r="AE17">
            <v>1886.7</v>
          </cell>
          <cell r="AF17">
            <v>191.3</v>
          </cell>
          <cell r="AJ17">
            <v>1582.3</v>
          </cell>
          <cell r="AK17">
            <v>191.3</v>
          </cell>
        </row>
        <row r="18">
          <cell r="P18">
            <v>1809.7</v>
          </cell>
          <cell r="Q18">
            <v>50.8</v>
          </cell>
          <cell r="U18">
            <v>1652.9</v>
          </cell>
          <cell r="V18">
            <v>50.8</v>
          </cell>
          <cell r="AE18">
            <v>1879.6</v>
          </cell>
          <cell r="AF18">
            <v>50.7</v>
          </cell>
          <cell r="AJ18">
            <v>1564.2</v>
          </cell>
          <cell r="AK18">
            <v>50.7</v>
          </cell>
        </row>
        <row r="19">
          <cell r="P19">
            <v>1787.4</v>
          </cell>
          <cell r="Q19">
            <v>-98.3</v>
          </cell>
          <cell r="U19">
            <v>1627.9</v>
          </cell>
          <cell r="V19">
            <v>-89.9</v>
          </cell>
          <cell r="AE19">
            <v>1872.5</v>
          </cell>
          <cell r="AF19">
            <v>-90</v>
          </cell>
          <cell r="AJ19">
            <v>1545.9</v>
          </cell>
          <cell r="AK19">
            <v>-90</v>
          </cell>
        </row>
        <row r="20">
          <cell r="P20">
            <v>1754.7</v>
          </cell>
          <cell r="Q20">
            <v>-230.5</v>
          </cell>
          <cell r="U20">
            <v>1584.6</v>
          </cell>
          <cell r="V20">
            <v>-230.5</v>
          </cell>
          <cell r="AE20">
            <v>1837.4</v>
          </cell>
          <cell r="AF20">
            <v>-230.1</v>
          </cell>
          <cell r="AJ20">
            <v>1489.1</v>
          </cell>
          <cell r="AK20">
            <v>-230.1</v>
          </cell>
        </row>
        <row r="21">
          <cell r="P21">
            <v>1705</v>
          </cell>
          <cell r="Q21">
            <v>-379.1</v>
          </cell>
          <cell r="U21">
            <v>1531</v>
          </cell>
          <cell r="V21">
            <v>-357.2</v>
          </cell>
          <cell r="AE21">
            <v>1802.3</v>
          </cell>
          <cell r="AF21">
            <v>-370.3</v>
          </cell>
          <cell r="AJ21">
            <v>1432.3</v>
          </cell>
          <cell r="AK21">
            <v>-370.3</v>
          </cell>
        </row>
        <row r="22">
          <cell r="P22">
            <v>1648.2</v>
          </cell>
          <cell r="Q22">
            <v>-508.5</v>
          </cell>
          <cell r="U22">
            <v>1452.8</v>
          </cell>
          <cell r="V22">
            <v>-508.5</v>
          </cell>
          <cell r="AE22">
            <v>1740.5</v>
          </cell>
          <cell r="AF22">
            <v>-510.9</v>
          </cell>
          <cell r="AJ22">
            <v>1358.1</v>
          </cell>
          <cell r="AK22">
            <v>-508.5</v>
          </cell>
        </row>
        <row r="23">
          <cell r="P23">
            <v>1594.2</v>
          </cell>
          <cell r="Q23">
            <v>-631.4</v>
          </cell>
          <cell r="U23">
            <v>1391.2</v>
          </cell>
          <cell r="V23">
            <v>-621.70000000000005</v>
          </cell>
          <cell r="AE23">
            <v>1690</v>
          </cell>
          <cell r="AF23">
            <v>-632.4</v>
          </cell>
          <cell r="AJ23">
            <v>1291.5</v>
          </cell>
          <cell r="AK23">
            <v>-612.5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8843-6EFB-4127-BEF7-9464CE45D3C0}">
  <sheetPr>
    <outlinePr summaryBelow="0" summaryRight="0"/>
  </sheetPr>
  <dimension ref="A1:AC206"/>
  <sheetViews>
    <sheetView tabSelected="1" workbookViewId="0">
      <selection activeCell="G16" sqref="G16"/>
    </sheetView>
  </sheetViews>
  <sheetFormatPr defaultColWidth="12.6640625" defaultRowHeight="15.75" customHeight="1" x14ac:dyDescent="0.25"/>
  <cols>
    <col min="6" max="6" width="14" customWidth="1"/>
    <col min="11" max="12" width="16.33203125" customWidth="1"/>
    <col min="13" max="13" width="17.109375" customWidth="1"/>
  </cols>
  <sheetData>
    <row r="1" spans="1:29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3">
      <c r="A2" s="1"/>
      <c r="B2" s="15" t="s">
        <v>35</v>
      </c>
      <c r="C2" s="5"/>
      <c r="D2" s="5"/>
      <c r="E2" s="5"/>
      <c r="F2" s="5"/>
      <c r="G2" s="5"/>
      <c r="H2" s="1"/>
      <c r="I2" s="15" t="s">
        <v>34</v>
      </c>
      <c r="J2" s="5"/>
      <c r="K2" s="5"/>
      <c r="L2" s="5"/>
      <c r="M2" s="5"/>
      <c r="N2" s="5"/>
      <c r="P2" s="15" t="s">
        <v>33</v>
      </c>
      <c r="Q2" s="5"/>
      <c r="R2" s="5"/>
      <c r="S2" s="5"/>
      <c r="T2" s="5"/>
      <c r="U2" s="5"/>
      <c r="V2" s="1"/>
      <c r="W2" s="15" t="s">
        <v>32</v>
      </c>
      <c r="X2" s="5"/>
      <c r="Y2" s="5"/>
      <c r="Z2" s="5"/>
      <c r="AA2" s="5"/>
      <c r="AB2" s="5"/>
      <c r="AC2" s="1"/>
    </row>
    <row r="3" spans="1:29" ht="15" x14ac:dyDescent="0.25">
      <c r="A3" s="1"/>
      <c r="B3" s="5"/>
      <c r="C3" s="5"/>
      <c r="D3" s="5"/>
      <c r="E3" s="5"/>
      <c r="F3" s="5"/>
      <c r="G3" s="5"/>
      <c r="H3" s="1"/>
      <c r="I3" s="34"/>
      <c r="J3" s="5"/>
      <c r="K3" s="5"/>
      <c r="L3" s="5"/>
      <c r="M3" s="5"/>
      <c r="N3" s="5"/>
      <c r="P3" s="5"/>
      <c r="Q3" s="5"/>
      <c r="R3" s="5"/>
      <c r="S3" s="5"/>
      <c r="T3" s="5"/>
      <c r="U3" s="5"/>
      <c r="V3" s="1"/>
      <c r="W3" s="5"/>
      <c r="X3" s="5"/>
      <c r="Y3" s="5"/>
      <c r="Z3" s="5"/>
      <c r="AA3" s="5"/>
      <c r="AB3" s="5"/>
      <c r="AC3" s="1"/>
    </row>
    <row r="4" spans="1:29" ht="15" x14ac:dyDescent="0.25">
      <c r="A4" s="1"/>
      <c r="B4" s="5" t="s">
        <v>24</v>
      </c>
      <c r="C4" s="5" t="s">
        <v>23</v>
      </c>
      <c r="D4" s="5"/>
      <c r="E4" s="5" t="s">
        <v>31</v>
      </c>
      <c r="F4" s="5"/>
      <c r="G4" s="5"/>
      <c r="H4" s="1"/>
      <c r="I4" s="5" t="s">
        <v>24</v>
      </c>
      <c r="J4" s="5" t="s">
        <v>23</v>
      </c>
      <c r="K4" s="5"/>
      <c r="L4" s="5" t="s">
        <v>31</v>
      </c>
      <c r="M4" s="5"/>
      <c r="N4" s="5"/>
      <c r="P4" s="5" t="s">
        <v>24</v>
      </c>
      <c r="Q4" s="5" t="s">
        <v>23</v>
      </c>
      <c r="R4" s="5"/>
      <c r="S4" s="5" t="s">
        <v>31</v>
      </c>
      <c r="T4" s="5"/>
      <c r="U4" s="5"/>
      <c r="V4" s="1"/>
      <c r="W4" s="5" t="s">
        <v>24</v>
      </c>
      <c r="X4" s="5" t="s">
        <v>23</v>
      </c>
      <c r="Y4" s="5"/>
      <c r="Z4" s="5" t="s">
        <v>31</v>
      </c>
      <c r="AA4" s="5"/>
      <c r="AB4" s="5"/>
      <c r="AC4" s="1"/>
    </row>
    <row r="5" spans="1:29" ht="15.75" customHeight="1" x14ac:dyDescent="0.3">
      <c r="A5" s="1"/>
      <c r="B5" s="33" t="s">
        <v>9</v>
      </c>
      <c r="C5" s="33" t="s">
        <v>8</v>
      </c>
      <c r="D5" s="11" t="s">
        <v>22</v>
      </c>
      <c r="E5" s="11" t="s">
        <v>30</v>
      </c>
      <c r="F5" s="33" t="s">
        <v>29</v>
      </c>
      <c r="G5" s="33" t="s">
        <v>28</v>
      </c>
      <c r="H5" s="1"/>
      <c r="I5" s="33" t="s">
        <v>9</v>
      </c>
      <c r="J5" s="33" t="s">
        <v>8</v>
      </c>
      <c r="K5" s="11" t="s">
        <v>22</v>
      </c>
      <c r="L5" s="11" t="s">
        <v>30</v>
      </c>
      <c r="M5" s="33" t="s">
        <v>29</v>
      </c>
      <c r="N5" s="33" t="s">
        <v>28</v>
      </c>
      <c r="P5" s="33" t="s">
        <v>9</v>
      </c>
      <c r="Q5" s="33" t="s">
        <v>8</v>
      </c>
      <c r="R5" s="11" t="s">
        <v>22</v>
      </c>
      <c r="S5" s="11" t="s">
        <v>30</v>
      </c>
      <c r="T5" s="33" t="s">
        <v>29</v>
      </c>
      <c r="U5" s="33" t="s">
        <v>28</v>
      </c>
      <c r="V5" s="1"/>
      <c r="W5" s="33" t="s">
        <v>9</v>
      </c>
      <c r="X5" s="33" t="s">
        <v>8</v>
      </c>
      <c r="Y5" s="11" t="s">
        <v>22</v>
      </c>
      <c r="Z5" s="11" t="s">
        <v>30</v>
      </c>
      <c r="AA5" s="33" t="s">
        <v>29</v>
      </c>
      <c r="AB5" s="33" t="s">
        <v>28</v>
      </c>
      <c r="AC5" s="29"/>
    </row>
    <row r="6" spans="1:29" ht="15" x14ac:dyDescent="0.25">
      <c r="A6" s="1"/>
      <c r="B6" s="8">
        <f>[1]INPUTS!P6</f>
        <v>1037.8</v>
      </c>
      <c r="C6" s="8">
        <f>[1]INPUTS!Q6</f>
        <v>1658.1</v>
      </c>
      <c r="D6" s="8">
        <f>SQRT(B6^2+C6^2)</f>
        <v>1956.0992945144681</v>
      </c>
      <c r="E6" s="8">
        <f>D6-125</f>
        <v>1831.0992945144681</v>
      </c>
      <c r="F6" s="8">
        <f>SQRT(E6^2-G6^2)</f>
        <v>971.48179193981059</v>
      </c>
      <c r="G6" s="8">
        <f>SQRT((E6^2)/(((B6/C6)^2)+1))</f>
        <v>1552.1429554975912</v>
      </c>
      <c r="H6" s="1"/>
      <c r="I6" s="8">
        <f>[1]INPUTS!U6</f>
        <v>993.2</v>
      </c>
      <c r="J6" s="8">
        <f>[1]INPUTS!V6</f>
        <v>1653.7</v>
      </c>
      <c r="K6" s="8">
        <f>SQRT(I6^2+J6^2)</f>
        <v>1929.033418580404</v>
      </c>
      <c r="L6" s="8">
        <f>K6-125</f>
        <v>1804.033418580404</v>
      </c>
      <c r="M6" s="8">
        <f>SQRT(L6^2-N6^2)</f>
        <v>928.8413430663303</v>
      </c>
      <c r="N6" s="8">
        <f>SQRT((L6^2)/(((I6/J6)^2)+1))</f>
        <v>1546.5414106210137</v>
      </c>
      <c r="P6" s="8">
        <f>[1]INPUTS!AE6</f>
        <v>1045.8</v>
      </c>
      <c r="Q6" s="8">
        <f>[1]INPUTS!AF6</f>
        <v>1641.7</v>
      </c>
      <c r="R6" s="8">
        <f>SQRT(P6^2+Q6^2)</f>
        <v>1946.5036681188146</v>
      </c>
      <c r="S6" s="8">
        <f>R6-80</f>
        <v>1866.5036681188146</v>
      </c>
      <c r="T6" s="8">
        <f>SQRT(S6^2-U6^2)</f>
        <v>1002.8183188604747</v>
      </c>
      <c r="U6" s="8">
        <f>SQRT((S6^2)/(((P6/Q6)^2)+1))</f>
        <v>1574.2272270732842</v>
      </c>
      <c r="V6" s="1"/>
      <c r="W6" s="8">
        <f>[1]INPUTS!AJ6</f>
        <v>946.7</v>
      </c>
      <c r="X6" s="8">
        <f>[1]INPUTS!AK6</f>
        <v>1627.5</v>
      </c>
      <c r="Y6" s="8">
        <f>SQRT(W6^2+X6^2)</f>
        <v>1882.8162788758759</v>
      </c>
      <c r="Z6" s="8">
        <f>Y6-80</f>
        <v>1802.8162788758759</v>
      </c>
      <c r="AA6" s="8">
        <f>SQRT(Z6^2-AB6^2)</f>
        <v>906.47515127221129</v>
      </c>
      <c r="AB6" s="8">
        <f>SQRT((Z6^2)/(((W6/X6)^2)+1))</f>
        <v>1558.3482715702166</v>
      </c>
      <c r="AC6" s="2"/>
    </row>
    <row r="7" spans="1:29" ht="15" x14ac:dyDescent="0.25">
      <c r="A7" s="1"/>
      <c r="B7" s="8">
        <f>[1]INPUTS!P7</f>
        <v>1220.8</v>
      </c>
      <c r="C7" s="8">
        <f>[1]INPUTS!Q7</f>
        <v>1488.4</v>
      </c>
      <c r="D7" s="8">
        <f>SQRT(B7^2+C7^2)</f>
        <v>1925.0161557763613</v>
      </c>
      <c r="E7" s="8">
        <f>D7-125</f>
        <v>1800.0161557763613</v>
      </c>
      <c r="F7" s="8">
        <f>SQRT(E7^2-G7^2)</f>
        <v>1141.5279380268596</v>
      </c>
      <c r="G7" s="8">
        <f>SQRT((E7^2)/(((B7/C7)^2)+1))</f>
        <v>1391.7514604842547</v>
      </c>
      <c r="H7" s="1"/>
      <c r="I7" s="8">
        <f>[1]INPUTS!U7</f>
        <v>1126.3</v>
      </c>
      <c r="J7" s="8">
        <f>[1]INPUTS!V7</f>
        <v>1519.2</v>
      </c>
      <c r="K7" s="8">
        <f>SQRT(I7^2+J7^2)</f>
        <v>1891.1690379233687</v>
      </c>
      <c r="L7" s="8">
        <f>K7-125</f>
        <v>1766.1690379233687</v>
      </c>
      <c r="M7" s="8">
        <f>SQRT(L7^2-N7^2)</f>
        <v>1051.8553061747486</v>
      </c>
      <c r="N7" s="8">
        <f>SQRT((L7^2)/(((I7/J7)^2)+1))</f>
        <v>1418.7859195069507</v>
      </c>
      <c r="P7" s="8">
        <f>[1]INPUTS!AE7</f>
        <v>1181.5999999999999</v>
      </c>
      <c r="Q7" s="8">
        <f>[1]INPUTS!AF7</f>
        <v>1543.5</v>
      </c>
      <c r="R7" s="8">
        <f>SQRT(P7^2+Q7^2)</f>
        <v>1943.8546267661065</v>
      </c>
      <c r="S7" s="8">
        <f>R7-80</f>
        <v>1863.8546267661065</v>
      </c>
      <c r="T7" s="8">
        <f>SQRT(S7^2-U7^2)</f>
        <v>1132.9708490859412</v>
      </c>
      <c r="U7" s="8">
        <f>SQRT((S7^2)/(((P7/Q7)^2)+1))</f>
        <v>1479.9767311815763</v>
      </c>
      <c r="V7" s="1"/>
      <c r="W7" s="8">
        <f>[1]INPUTS!AJ7</f>
        <v>1059.2</v>
      </c>
      <c r="X7" s="8">
        <f>[1]INPUTS!AK7</f>
        <v>1543.5</v>
      </c>
      <c r="Y7" s="8">
        <f>SQRT(W7^2+X7^2)</f>
        <v>1871.9767332955823</v>
      </c>
      <c r="Z7" s="8">
        <f>Y7-80</f>
        <v>1791.9767332955823</v>
      </c>
      <c r="AA7" s="8">
        <f>SQRT(Z7^2-AB7^2)</f>
        <v>1013.9344801391715</v>
      </c>
      <c r="AB7" s="8">
        <f>SQRT((Z7^2)/(((W7/X7)^2)+1))</f>
        <v>1477.5376417058262</v>
      </c>
      <c r="AC7" s="2"/>
    </row>
    <row r="8" spans="1:29" ht="15" x14ac:dyDescent="0.25">
      <c r="A8" s="1"/>
      <c r="B8" s="8">
        <f>[1]INPUTS!P8</f>
        <v>1278.7</v>
      </c>
      <c r="C8" s="8">
        <f>[1]INPUTS!Q8</f>
        <v>1434.6</v>
      </c>
      <c r="D8" s="8">
        <f>SQRT(B8^2+C8^2)</f>
        <v>1921.7572297249201</v>
      </c>
      <c r="E8" s="8">
        <f>D8-125</f>
        <v>1796.7572297249201</v>
      </c>
      <c r="F8" s="8">
        <f>SQRT(E8^2-G8^2)</f>
        <v>1195.5274236060093</v>
      </c>
      <c r="G8" s="8">
        <f>SQRT((E8^2)/(((B8/C8)^2)+1))</f>
        <v>1341.2869648120595</v>
      </c>
      <c r="H8" s="1"/>
      <c r="I8" s="8">
        <f>[1]INPUTS!U8</f>
        <v>1216.7</v>
      </c>
      <c r="J8" s="8">
        <f>[1]INPUTS!V8</f>
        <v>1434.6</v>
      </c>
      <c r="K8" s="8">
        <f>SQRT(I8^2+J8^2)</f>
        <v>1881.0731112851515</v>
      </c>
      <c r="L8" s="8">
        <f>K8-125</f>
        <v>1756.0731112851515</v>
      </c>
      <c r="M8" s="8">
        <f>SQRT(L8^2-N8^2)</f>
        <v>1135.8485439414455</v>
      </c>
      <c r="N8" s="8">
        <f>SQRT((L8^2)/(((I8/J8)^2)+1))</f>
        <v>1339.2687771335559</v>
      </c>
      <c r="P8" s="8">
        <f>[1]INPUTS!AE8</f>
        <v>1301.9000000000001</v>
      </c>
      <c r="Q8" s="8">
        <f>[1]INPUTS!AF8</f>
        <v>1429.6</v>
      </c>
      <c r="R8" s="8">
        <f>SQRT(P8^2+Q8^2)</f>
        <v>1933.5717648952159</v>
      </c>
      <c r="S8" s="8">
        <f>R8-80</f>
        <v>1853.5717648952159</v>
      </c>
      <c r="T8" s="8">
        <f>SQRT(S8^2-U8^2)</f>
        <v>1248.0349188631517</v>
      </c>
      <c r="U8" s="8">
        <f>SQRT((S8^2)/(((P8/Q8)^2)+1))</f>
        <v>1370.4514325268926</v>
      </c>
      <c r="V8" s="1"/>
      <c r="W8" s="8">
        <f>[1]INPUTS!AJ8</f>
        <v>1171.7</v>
      </c>
      <c r="X8" s="8">
        <f>[1]INPUTS!AK8</f>
        <v>1429.6</v>
      </c>
      <c r="Y8" s="8">
        <f>SQRT(W8^2+X8^2)</f>
        <v>1848.414739716171</v>
      </c>
      <c r="Z8" s="8">
        <f>Y8-80</f>
        <v>1768.414739716171</v>
      </c>
      <c r="AA8" s="8">
        <f>SQRT(Z8^2-AB8^2)</f>
        <v>1120.9884372830777</v>
      </c>
      <c r="AB8" s="8">
        <f>SQRT((Z8^2)/(((W8/X8)^2)+1))</f>
        <v>1367.726440163769</v>
      </c>
      <c r="AC8" s="2"/>
    </row>
    <row r="9" spans="1:29" ht="15" x14ac:dyDescent="0.25">
      <c r="A9" s="1"/>
      <c r="B9" s="8">
        <f>[1]INPUTS!P9</f>
        <v>1402.9</v>
      </c>
      <c r="C9" s="8">
        <f>[1]INPUTS!Q9</f>
        <v>1300.5999999999999</v>
      </c>
      <c r="D9" s="8">
        <f>SQRT(B9^2+C9^2)</f>
        <v>1913.0313039780608</v>
      </c>
      <c r="E9" s="8">
        <f>D9-125</f>
        <v>1788.0313039780608</v>
      </c>
      <c r="F9" s="8">
        <f>SQRT(E9^2-G9^2)</f>
        <v>1311.2326552809975</v>
      </c>
      <c r="G9" s="8">
        <f>SQRT((E9^2)/(((B9/C9)^2)+1))</f>
        <v>1215.6170728194918</v>
      </c>
      <c r="H9" s="1"/>
      <c r="I9" s="8">
        <f>[1]INPUTS!U9</f>
        <v>1313.7</v>
      </c>
      <c r="J9" s="8">
        <f>[1]INPUTS!V9</f>
        <v>1327.2</v>
      </c>
      <c r="K9" s="8">
        <f>SQRT(I9^2+J9^2)</f>
        <v>1867.4226971952548</v>
      </c>
      <c r="L9" s="8">
        <f>K9-125</f>
        <v>1742.4226971952548</v>
      </c>
      <c r="M9" s="8">
        <f>SQRT(L9^2-N9^2)</f>
        <v>1225.7646331188776</v>
      </c>
      <c r="N9" s="8">
        <f>SQRT((L9^2)/(((I9/J9)^2)+1))</f>
        <v>1238.3609812555183</v>
      </c>
      <c r="P9" s="8">
        <f>[1]INPUTS!AE9</f>
        <v>1422.2</v>
      </c>
      <c r="Q9" s="8">
        <f>[1]INPUTS!AF9</f>
        <v>1315.6</v>
      </c>
      <c r="R9" s="8">
        <f>SQRT(P9^2+Q9^2)</f>
        <v>1937.3838545832884</v>
      </c>
      <c r="S9" s="8">
        <f>R9-80</f>
        <v>1857.3838545832884</v>
      </c>
      <c r="T9" s="8">
        <f>SQRT(S9^2-U9^2)</f>
        <v>1363.4733827987475</v>
      </c>
      <c r="U9" s="8">
        <f>SQRT((S9^2)/(((P9/Q9)^2)+1))</f>
        <v>1261.2751950569766</v>
      </c>
      <c r="V9" s="1"/>
      <c r="W9" s="8">
        <f>[1]INPUTS!AJ9</f>
        <v>1284.3</v>
      </c>
      <c r="X9" s="8">
        <f>[1]INPUTS!AK9</f>
        <v>1315.6</v>
      </c>
      <c r="Y9" s="8">
        <f>SQRT(W9^2+X9^2)</f>
        <v>1838.5401409814253</v>
      </c>
      <c r="Z9" s="8">
        <f>Y9-80</f>
        <v>1758.5401409814253</v>
      </c>
      <c r="AA9" s="8">
        <f>SQRT(Z9^2-AB9^2)</f>
        <v>1228.4165315296545</v>
      </c>
      <c r="AB9" s="8">
        <f>SQRT((Z9^2)/(((W9/X9)^2)+1))</f>
        <v>1258.3545813909625</v>
      </c>
      <c r="AC9" s="2"/>
    </row>
    <row r="10" spans="1:29" ht="15" x14ac:dyDescent="0.25">
      <c r="A10" s="1"/>
      <c r="B10" s="8">
        <f>[1]INPUTS!P10</f>
        <v>1489.7</v>
      </c>
      <c r="C10" s="8">
        <f>[1]INPUTS!Q10</f>
        <v>1187.3</v>
      </c>
      <c r="D10" s="8">
        <f>SQRT(B10^2+C10^2)</f>
        <v>1904.9638789226424</v>
      </c>
      <c r="E10" s="8">
        <f>D10-125</f>
        <v>1779.9638789226424</v>
      </c>
      <c r="F10" s="8">
        <f>SQRT(E10^2-G10^2)</f>
        <v>1391.9488026884201</v>
      </c>
      <c r="G10" s="8">
        <f>SQRT((E10^2)/(((B10/C10)^2)+1))</f>
        <v>1109.3916986184875</v>
      </c>
      <c r="H10" s="1"/>
      <c r="I10" s="8">
        <f>[1]INPUTS!U10</f>
        <v>1417.6</v>
      </c>
      <c r="J10" s="8">
        <f>[1]INPUTS!V10</f>
        <v>1187.3</v>
      </c>
      <c r="K10" s="8">
        <f>SQRT(I10^2+J10^2)</f>
        <v>1849.1271048794888</v>
      </c>
      <c r="L10" s="8">
        <f>K10-125</f>
        <v>1724.1271048794888</v>
      </c>
      <c r="M10" s="8">
        <f>SQRT(L10^2-N10^2)</f>
        <v>1321.7710007211492</v>
      </c>
      <c r="N10" s="8">
        <f>SQRT((L10^2)/(((I10/J10)^2)+1))</f>
        <v>1107.0391571361602</v>
      </c>
      <c r="P10" s="8">
        <f>[1]INPUTS!AE10</f>
        <v>1512.8</v>
      </c>
      <c r="Q10" s="8">
        <f>[1]INPUTS!AF10</f>
        <v>1193.7</v>
      </c>
      <c r="R10" s="8">
        <f>SQRT(P10^2+Q10^2)</f>
        <v>1927.040095587012</v>
      </c>
      <c r="S10" s="8">
        <f>R10-80</f>
        <v>1847.040095587012</v>
      </c>
      <c r="T10" s="8">
        <f>SQRT(S10^2-U10^2)</f>
        <v>1449.9969476519202</v>
      </c>
      <c r="U10" s="8">
        <f>SQRT((S10^2)/(((P10/Q10)^2)+1))</f>
        <v>1144.1442070413123</v>
      </c>
      <c r="V10" s="1"/>
      <c r="W10" s="8">
        <f>[1]INPUTS!AJ10</f>
        <v>1363.8</v>
      </c>
      <c r="X10" s="8">
        <f>[1]INPUTS!AK10</f>
        <v>1193.7</v>
      </c>
      <c r="Y10" s="8">
        <f>SQRT(W10^2+X10^2)</f>
        <v>1812.4210686261622</v>
      </c>
      <c r="Z10" s="8">
        <f>Y10-80</f>
        <v>1732.4210686261622</v>
      </c>
      <c r="AA10" s="8">
        <f>SQRT(Z10^2-AB10^2)</f>
        <v>1303.6020681349162</v>
      </c>
      <c r="AB10" s="8">
        <f>SQRT((Z10^2)/(((W10/X10)^2)+1))</f>
        <v>1141.0102571730822</v>
      </c>
      <c r="AC10" s="2"/>
    </row>
    <row r="11" spans="1:29" ht="15" x14ac:dyDescent="0.25">
      <c r="A11" s="1"/>
      <c r="B11" s="8">
        <f>[1]INPUTS!P11</f>
        <v>1571.7</v>
      </c>
      <c r="C11" s="8">
        <f>[1]INPUTS!Q11</f>
        <v>1061.0999999999999</v>
      </c>
      <c r="D11" s="8">
        <f>SQRT(B11^2+C11^2)</f>
        <v>1896.3581149139525</v>
      </c>
      <c r="E11" s="8">
        <f>D11-125</f>
        <v>1771.3581149139525</v>
      </c>
      <c r="F11" s="8">
        <f>SQRT(E11^2-G11^2)</f>
        <v>1468.1001058371221</v>
      </c>
      <c r="G11" s="8">
        <f>SQRT((E11^2)/(((B11/C11)^2)+1))</f>
        <v>991.15672348652413</v>
      </c>
      <c r="H11" s="1"/>
      <c r="I11" s="8">
        <f>[1]INPUTS!U11</f>
        <v>1482.4</v>
      </c>
      <c r="J11" s="8">
        <f>[1]INPUTS!V11</f>
        <v>1079.5</v>
      </c>
      <c r="K11" s="8">
        <f>SQRT(I11^2+J11^2)</f>
        <v>1833.8020640189061</v>
      </c>
      <c r="L11" s="8">
        <f>K11-125</f>
        <v>1708.8020640189061</v>
      </c>
      <c r="M11" s="8">
        <f>SQRT(L11^2-N11^2)</f>
        <v>1381.3531075159215</v>
      </c>
      <c r="N11" s="8">
        <f>SQRT((L11^2)/(((I11/J11)^2)+1))</f>
        <v>1005.9165404502407</v>
      </c>
      <c r="P11" s="8">
        <f>[1]INPUTS!AE11</f>
        <v>1603.4</v>
      </c>
      <c r="Q11" s="8">
        <f>[1]INPUTS!AF11</f>
        <v>1071.7</v>
      </c>
      <c r="R11" s="8">
        <f>SQRT(P11^2+Q11^2)</f>
        <v>1928.5830161027554</v>
      </c>
      <c r="S11" s="8">
        <f>R11-80</f>
        <v>1848.5830161027554</v>
      </c>
      <c r="T11" s="8">
        <f>SQRT(S11^2-U11^2)</f>
        <v>1536.8889922139783</v>
      </c>
      <c r="U11" s="8">
        <f>SQRT((S11^2)/(((P11/Q11)^2)+1))</f>
        <v>1027.2445634001001</v>
      </c>
      <c r="V11" s="1"/>
      <c r="W11" s="8">
        <f>[1]INPUTS!AJ11</f>
        <v>1443.3</v>
      </c>
      <c r="X11" s="8">
        <f>[1]INPUTS!AK11</f>
        <v>1071.7</v>
      </c>
      <c r="Y11" s="8">
        <f>SQRT(W11^2+X11^2)</f>
        <v>1797.6806668593842</v>
      </c>
      <c r="Z11" s="8">
        <f>Y11-80</f>
        <v>1717.6806668593842</v>
      </c>
      <c r="AA11" s="8">
        <f>SQRT(Z11^2-AB11^2)</f>
        <v>1379.0705725334856</v>
      </c>
      <c r="AB11" s="8">
        <f>SQRT((Z11^2)/(((W11/X11)^2)+1))</f>
        <v>1024.0074361422689</v>
      </c>
      <c r="AC11" s="2"/>
    </row>
    <row r="12" spans="1:29" ht="15" x14ac:dyDescent="0.25">
      <c r="A12" s="1"/>
      <c r="B12" s="8">
        <f>[1]INPUTS!P12</f>
        <v>1632.6</v>
      </c>
      <c r="C12" s="8">
        <f>[1]INPUTS!Q12</f>
        <v>950.7</v>
      </c>
      <c r="D12" s="8">
        <f>SQRT(B12^2+C12^2)</f>
        <v>1889.2361551695965</v>
      </c>
      <c r="E12" s="8">
        <f>D12-125</f>
        <v>1764.2361551695965</v>
      </c>
      <c r="F12" s="8">
        <f>SQRT(E12^2-G12^2)</f>
        <v>1524.5801532266989</v>
      </c>
      <c r="G12" s="8">
        <f>SQRT((E12^2)/(((B12/C12)^2)+1))</f>
        <v>887.79759382128066</v>
      </c>
      <c r="H12" s="1"/>
      <c r="I12" s="8">
        <f>[1]INPUTS!U12</f>
        <v>1545.2</v>
      </c>
      <c r="J12" s="8">
        <f>[1]INPUTS!V12</f>
        <v>950.7</v>
      </c>
      <c r="K12" s="8">
        <f>SQRT(I12^2+J12^2)</f>
        <v>1814.2418609435733</v>
      </c>
      <c r="L12" s="8">
        <f>K12-125</f>
        <v>1689.2418609435733</v>
      </c>
      <c r="M12" s="8">
        <f>SQRT(L12^2-N12^2)</f>
        <v>1438.7367967424452</v>
      </c>
      <c r="N12" s="8">
        <f>SQRT((L12^2)/(((I12/J12)^2)+1))</f>
        <v>885.19743247672966</v>
      </c>
      <c r="P12" s="8">
        <f>[1]INPUTS!AE12</f>
        <v>1669.8</v>
      </c>
      <c r="Q12" s="8">
        <f>[1]INPUTS!AF12</f>
        <v>948.2</v>
      </c>
      <c r="R12" s="8">
        <f>SQRT(P12^2+Q12^2)</f>
        <v>1920.238339373527</v>
      </c>
      <c r="S12" s="8">
        <f>R12-80</f>
        <v>1840.238339373527</v>
      </c>
      <c r="T12" s="8">
        <f>SQRT(S12^2-U12^2)</f>
        <v>1600.2336356269288</v>
      </c>
      <c r="U12" s="8">
        <f>SQRT((S12^2)/(((P12/Q12)^2)+1))</f>
        <v>908.696570428467</v>
      </c>
      <c r="V12" s="1"/>
      <c r="W12" s="8">
        <f>[1]INPUTS!AJ12</f>
        <v>1488.6</v>
      </c>
      <c r="X12" s="8">
        <f>[1]INPUTS!AK12</f>
        <v>948.2</v>
      </c>
      <c r="Y12" s="8">
        <f>SQRT(W12^2+X12^2)</f>
        <v>1764.9399989801352</v>
      </c>
      <c r="Z12" s="8">
        <f>Y12-80</f>
        <v>1684.9399989801352</v>
      </c>
      <c r="AA12" s="8">
        <f>SQRT(Z12^2-AB12^2)</f>
        <v>1421.1257515446334</v>
      </c>
      <c r="AB12" s="8">
        <f>SQRT((Z12^2)/(((W12/X12)^2)+1))</f>
        <v>905.2206352375531</v>
      </c>
      <c r="AC12" s="2"/>
    </row>
    <row r="13" spans="1:29" ht="15" x14ac:dyDescent="0.25">
      <c r="A13" s="1"/>
      <c r="B13" s="8">
        <f>[1]INPUTS!P13</f>
        <v>1692.2</v>
      </c>
      <c r="C13" s="8">
        <f>[1]INPUTS!Q13</f>
        <v>820.3</v>
      </c>
      <c r="D13" s="8">
        <f>SQRT(B13^2+C13^2)</f>
        <v>1880.540595148108</v>
      </c>
      <c r="E13" s="8">
        <f>D13-125</f>
        <v>1755.540595148108</v>
      </c>
      <c r="F13" s="8">
        <f>SQRT(E13^2-G13^2)</f>
        <v>1579.7190460946467</v>
      </c>
      <c r="G13" s="8">
        <f>SQRT((E13^2)/(((B13/C13)^2)+1))</f>
        <v>765.77445544937871</v>
      </c>
      <c r="H13" s="1"/>
      <c r="I13" s="8">
        <f>[1]INPUTS!U13</f>
        <v>1590.1</v>
      </c>
      <c r="J13" s="8">
        <f>[1]INPUTS!V13</f>
        <v>827.2</v>
      </c>
      <c r="K13" s="8">
        <f>SQRT(I13^2+J13^2)</f>
        <v>1792.3944459855927</v>
      </c>
      <c r="L13" s="8">
        <f>K13-125</f>
        <v>1667.3944459855927</v>
      </c>
      <c r="M13" s="8">
        <f>SQRT(L13^2-N13^2)</f>
        <v>1479.2078353622628</v>
      </c>
      <c r="N13" s="8">
        <f>SQRT((L13^2)/(((I13/J13)^2)+1))</f>
        <v>769.51180517682155</v>
      </c>
      <c r="P13" s="8">
        <f>[1]INPUTS!AE13</f>
        <v>1736.2</v>
      </c>
      <c r="Q13" s="8">
        <f>[1]INPUTS!AF13</f>
        <v>824.7</v>
      </c>
      <c r="R13" s="8">
        <f>SQRT(P13^2+Q13^2)</f>
        <v>1922.1135580396908</v>
      </c>
      <c r="S13" s="8">
        <f>R13-80</f>
        <v>1842.1135580396908</v>
      </c>
      <c r="T13" s="8">
        <f>SQRT(S13^2-U13^2)</f>
        <v>1663.9378803041918</v>
      </c>
      <c r="U13" s="8">
        <f>SQRT((S13^2)/(((P13/Q13)^2)+1))</f>
        <v>790.37528504024135</v>
      </c>
      <c r="V13" s="1"/>
      <c r="W13" s="8">
        <f>[1]INPUTS!AJ13</f>
        <v>1533.9</v>
      </c>
      <c r="X13" s="8">
        <f>[1]INPUTS!AK13</f>
        <v>824.7</v>
      </c>
      <c r="Y13" s="8">
        <f>SQRT(W13^2+X13^2)</f>
        <v>1741.5450898555571</v>
      </c>
      <c r="Z13" s="8">
        <f>Y13-80</f>
        <v>1661.5450898555571</v>
      </c>
      <c r="AA13" s="8">
        <f>SQRT(Z13^2-AB13^2)</f>
        <v>1463.4384307217808</v>
      </c>
      <c r="AB13" s="8">
        <f>SQRT((Z13^2)/(((W13/X13)^2)+1))</f>
        <v>786.81639860242024</v>
      </c>
      <c r="AC13" s="2"/>
    </row>
    <row r="14" spans="1:29" ht="15" x14ac:dyDescent="0.25">
      <c r="A14" s="1"/>
      <c r="B14" s="8">
        <f>[1]INPUTS!P14</f>
        <v>1744.9</v>
      </c>
      <c r="C14" s="8">
        <f>[1]INPUTS!Q14</f>
        <v>672.3</v>
      </c>
      <c r="D14" s="8">
        <f>SQRT(B14^2+C14^2)</f>
        <v>1869.9367101589296</v>
      </c>
      <c r="E14" s="8">
        <f>D14-125</f>
        <v>1744.9367101589296</v>
      </c>
      <c r="F14" s="8">
        <f>SQRT(E14^2-G14^2)</f>
        <v>1628.2583517479252</v>
      </c>
      <c r="G14" s="8">
        <f>SQRT((E14^2)/(((B14/C14)^2)+1))</f>
        <v>627.35863939488229</v>
      </c>
      <c r="H14" s="1"/>
      <c r="I14" s="8">
        <f>[1]INPUTS!U14</f>
        <v>1628.8</v>
      </c>
      <c r="J14" s="8">
        <f>[1]INPUTS!V14</f>
        <v>672.3</v>
      </c>
      <c r="K14" s="8">
        <f>SQRT(I14^2+J14^2)</f>
        <v>1762.0944157450815</v>
      </c>
      <c r="L14" s="8">
        <f>K14-125</f>
        <v>1637.0944157450815</v>
      </c>
      <c r="M14" s="8">
        <f>SQRT(L14^2-N14^2)</f>
        <v>1513.2556805919448</v>
      </c>
      <c r="N14" s="8">
        <f>SQRT((L14^2)/(((I14/J14)^2)+1))</f>
        <v>624.60817415395661</v>
      </c>
      <c r="P14" s="8">
        <f>[1]INPUTS!AE14</f>
        <v>1788.9</v>
      </c>
      <c r="Q14" s="8">
        <f>[1]INPUTS!AF14</f>
        <v>670</v>
      </c>
      <c r="R14" s="8">
        <f>SQRT(P14^2+Q14^2)</f>
        <v>1910.2521325730802</v>
      </c>
      <c r="S14" s="8">
        <f>R14-80</f>
        <v>1830.2521325730802</v>
      </c>
      <c r="T14" s="8">
        <f>SQRT(S14^2-U14^2)</f>
        <v>1713.9821409594608</v>
      </c>
      <c r="U14" s="8">
        <f>SQRT((S14^2)/(((P14/Q14)^2)+1))</f>
        <v>641.94087676384299</v>
      </c>
      <c r="V14" s="1"/>
      <c r="W14" s="8">
        <f>[1]INPUTS!AJ14</f>
        <v>1556.1</v>
      </c>
      <c r="X14" s="8">
        <f>[1]INPUTS!AK14</f>
        <v>670</v>
      </c>
      <c r="Y14" s="8">
        <f>SQRT(W14^2+X14^2)</f>
        <v>1694.2099073019256</v>
      </c>
      <c r="Z14" s="8">
        <f>Y14-80</f>
        <v>1614.2099073019256</v>
      </c>
      <c r="AA14" s="8">
        <f>SQRT(Z14^2-AB14^2)</f>
        <v>1482.6215015781304</v>
      </c>
      <c r="AB14" s="8">
        <f>SQRT((Z14^2)/(((W14/X14)^2)+1))</f>
        <v>638.36283404495043</v>
      </c>
      <c r="AC14" s="2"/>
    </row>
    <row r="15" spans="1:29" ht="15" x14ac:dyDescent="0.25">
      <c r="A15" s="1"/>
      <c r="B15" s="8">
        <f>[1]INPUTS!P15</f>
        <v>1784.1</v>
      </c>
      <c r="C15" s="8">
        <f>[1]INPUTS!Q15</f>
        <v>515</v>
      </c>
      <c r="D15" s="8">
        <f>SQRT(B15^2+C15^2)</f>
        <v>1856.9431359091209</v>
      </c>
      <c r="E15" s="8">
        <f>D15-125</f>
        <v>1731.9431359091209</v>
      </c>
      <c r="F15" s="8">
        <f>SQRT(E15^2-G15^2)</f>
        <v>1664.0034307042376</v>
      </c>
      <c r="G15" s="8">
        <f>SQRT((E15^2)/(((B15/C15)^2)+1))</f>
        <v>480.33281027559133</v>
      </c>
      <c r="H15" s="1"/>
      <c r="I15" s="8">
        <f>[1]INPUTS!U15</f>
        <v>1652</v>
      </c>
      <c r="J15" s="8">
        <f>[1]INPUTS!V15</f>
        <v>513.1</v>
      </c>
      <c r="K15" s="8">
        <f>SQRT(I15^2+J15^2)</f>
        <v>1729.8484355572889</v>
      </c>
      <c r="L15" s="8">
        <f>K15-125</f>
        <v>1604.8484355572889</v>
      </c>
      <c r="M15" s="8">
        <f>SQRT(L15^2-N15^2)</f>
        <v>1532.6253797989684</v>
      </c>
      <c r="N15" s="8">
        <f>SQRT((L15^2)/(((I15/J15)^2)+1))</f>
        <v>476.02305228501859</v>
      </c>
      <c r="P15" s="8">
        <f>[1]INPUTS!AE15</f>
        <v>1841.6</v>
      </c>
      <c r="Q15" s="8">
        <f>[1]INPUTS!AF15</f>
        <v>515.20000000000005</v>
      </c>
      <c r="R15" s="8">
        <f>SQRT(P15^2+Q15^2)</f>
        <v>1912.3079249953444</v>
      </c>
      <c r="S15" s="8">
        <f>R15-80</f>
        <v>1832.3079249953444</v>
      </c>
      <c r="T15" s="8">
        <f>SQRT(S15^2-U15^2)</f>
        <v>1764.5580142014217</v>
      </c>
      <c r="U15" s="8">
        <f>SQRT((S15^2)/(((P15/Q15)^2)+1))</f>
        <v>493.64698572793901</v>
      </c>
      <c r="V15" s="1"/>
      <c r="W15" s="8">
        <f>[1]INPUTS!AJ15</f>
        <v>1578.3</v>
      </c>
      <c r="X15" s="8">
        <f>[1]INPUTS!AK15</f>
        <v>515.20000000000005</v>
      </c>
      <c r="Y15" s="8">
        <f>SQRT(W15^2+X15^2)</f>
        <v>1660.2595971714784</v>
      </c>
      <c r="Z15" s="8">
        <f>Y15-80</f>
        <v>1580.2595971714784</v>
      </c>
      <c r="AA15" s="8">
        <f>SQRT(Z15^2-AB15^2)</f>
        <v>1502.2492425069481</v>
      </c>
      <c r="AB15" s="8">
        <f>SQRT((Z15^2)/(((W15/X15)^2)+1))</f>
        <v>490.37496657136137</v>
      </c>
      <c r="AC15" s="2"/>
    </row>
    <row r="16" spans="1:29" ht="15" x14ac:dyDescent="0.25">
      <c r="A16" s="1"/>
      <c r="B16" s="8">
        <f>[1]INPUTS!P16</f>
        <v>1808.6</v>
      </c>
      <c r="C16" s="8">
        <f>[1]INPUTS!Q16</f>
        <v>354.5</v>
      </c>
      <c r="D16" s="8">
        <f>SQRT(B16^2+C16^2)</f>
        <v>1843.0149782353913</v>
      </c>
      <c r="E16" s="8">
        <f>D16-125</f>
        <v>1718.0149782353913</v>
      </c>
      <c r="F16" s="8">
        <f>SQRT(E16^2-G16^2)</f>
        <v>1685.934149385776</v>
      </c>
      <c r="G16" s="8">
        <f>SQRT((E16^2)/(((B16/C16)^2)+1))</f>
        <v>330.45651661907419</v>
      </c>
      <c r="H16" s="1"/>
      <c r="I16" s="8">
        <f>[1]INPUTS!U16</f>
        <v>1661.7</v>
      </c>
      <c r="J16" s="8">
        <f>[1]INPUTS!V16</f>
        <v>354.5</v>
      </c>
      <c r="K16" s="8">
        <f>SQRT(I16^2+J16^2)</f>
        <v>1699.0930345334243</v>
      </c>
      <c r="L16" s="8">
        <f>K16-125</f>
        <v>1574.0930345334243</v>
      </c>
      <c r="M16" s="8">
        <f>SQRT(L16^2-N16^2)</f>
        <v>1539.4509554931237</v>
      </c>
      <c r="N16" s="8">
        <f>SQRT((L16^2)/(((I16/J16)^2)+1))</f>
        <v>328.41990956388781</v>
      </c>
      <c r="P16" s="8">
        <f>[1]INPUTS!AE16</f>
        <v>1864.1</v>
      </c>
      <c r="Q16" s="8">
        <f>[1]INPUTS!AF16</f>
        <v>353.3</v>
      </c>
      <c r="R16" s="8">
        <f>SQRT(P16^2+Q16^2)</f>
        <v>1897.2848231090659</v>
      </c>
      <c r="S16" s="8">
        <f>R16-80</f>
        <v>1817.2848231090659</v>
      </c>
      <c r="T16" s="8">
        <f>SQRT(S16^2-U16^2)</f>
        <v>1785.4992553023087</v>
      </c>
      <c r="U16" s="8">
        <f>SQRT((S16^2)/(((P16/Q16)^2)+1))</f>
        <v>338.4029219989838</v>
      </c>
      <c r="V16" s="1"/>
      <c r="W16" s="8">
        <f>[1]INPUTS!AJ16</f>
        <v>1580.3</v>
      </c>
      <c r="X16" s="8">
        <f>[1]INPUTS!AK16</f>
        <v>353.3</v>
      </c>
      <c r="Y16" s="8">
        <f>SQRT(W16^2+X16^2)</f>
        <v>1619.3112671750296</v>
      </c>
      <c r="Z16" s="8">
        <f>Y16-80</f>
        <v>1539.3112671750296</v>
      </c>
      <c r="AA16" s="8">
        <f>SQRT(Z16^2-AB16^2)</f>
        <v>1502.2273017098478</v>
      </c>
      <c r="AB16" s="8">
        <f>SQRT((Z16^2)/(((W16/X16)^2)+1))</f>
        <v>335.84566581920473</v>
      </c>
      <c r="AC16" s="2"/>
    </row>
    <row r="17" spans="1:29" ht="15" x14ac:dyDescent="0.25">
      <c r="A17" s="1"/>
      <c r="B17" s="8">
        <f>[1]INPUTS!P17</f>
        <v>1817.1</v>
      </c>
      <c r="C17" s="8">
        <f>[1]INPUTS!Q17</f>
        <v>190.7</v>
      </c>
      <c r="D17" s="8">
        <f>SQRT(B17^2+C17^2)</f>
        <v>1827.0793359895458</v>
      </c>
      <c r="E17" s="8">
        <f>D17-125</f>
        <v>1702.0793359895458</v>
      </c>
      <c r="F17" s="8">
        <f>SQRT(E17^2-G17^2)</f>
        <v>1692.782738277491</v>
      </c>
      <c r="G17" s="8">
        <f>SQRT((E17^2)/(((B17/C17)^2)+1))</f>
        <v>177.6532211708313</v>
      </c>
      <c r="H17" s="1"/>
      <c r="I17" s="8">
        <f>[1]INPUTS!U17</f>
        <v>1662.3</v>
      </c>
      <c r="J17" s="8">
        <f>[1]INPUTS!V17</f>
        <v>192</v>
      </c>
      <c r="K17" s="8">
        <f>SQRT(I17^2+J17^2)</f>
        <v>1673.3515141774606</v>
      </c>
      <c r="L17" s="8">
        <f>K17-125</f>
        <v>1548.3515141774606</v>
      </c>
      <c r="M17" s="8">
        <f>SQRT(L17^2-N17^2)</f>
        <v>1538.1255523483728</v>
      </c>
      <c r="N17" s="8">
        <f>SQRT((L17^2)/(((I17/J17)^2)+1))</f>
        <v>177.65752634956843</v>
      </c>
      <c r="P17" s="8">
        <f>[1]INPUTS!AE17</f>
        <v>1886.7</v>
      </c>
      <c r="Q17" s="8">
        <f>[1]INPUTS!AF17</f>
        <v>191.3</v>
      </c>
      <c r="R17" s="8">
        <f>SQRT(P17^2+Q17^2)</f>
        <v>1896.3735338798631</v>
      </c>
      <c r="S17" s="8">
        <f>R17-80</f>
        <v>1816.3735338798631</v>
      </c>
      <c r="T17" s="8">
        <f>SQRT(S17^2-U17^2)</f>
        <v>1807.1080855889218</v>
      </c>
      <c r="U17" s="8">
        <f>SQRT((S17^2)/(((P17/Q17)^2)+1))</f>
        <v>183.22985995291288</v>
      </c>
      <c r="V17" s="1"/>
      <c r="W17" s="8">
        <f>[1]INPUTS!AJ17</f>
        <v>1582.3</v>
      </c>
      <c r="X17" s="8">
        <f>[1]INPUTS!AK17</f>
        <v>191.3</v>
      </c>
      <c r="Y17" s="8">
        <f>SQRT(W17^2+X17^2)</f>
        <v>1593.8221293481904</v>
      </c>
      <c r="Z17" s="8">
        <f>Y17-80</f>
        <v>1513.8221293481904</v>
      </c>
      <c r="AA17" s="8">
        <f>SQRT(Z17^2-AB17^2)</f>
        <v>1502.8783395341814</v>
      </c>
      <c r="AB17" s="8">
        <f>SQRT((Z17^2)/(((W17/X17)^2)+1))</f>
        <v>181.69792476324901</v>
      </c>
      <c r="AC17" s="2"/>
    </row>
    <row r="18" spans="1:29" ht="15.75" customHeight="1" x14ac:dyDescent="0.3">
      <c r="A18" s="1"/>
      <c r="B18" s="8">
        <f>[1]INPUTS!P18</f>
        <v>1809.7</v>
      </c>
      <c r="C18" s="8">
        <f>[1]INPUTS!Q18</f>
        <v>50.8</v>
      </c>
      <c r="D18" s="8">
        <f>SQRT(B18^2+C18^2)</f>
        <v>1810.4128617528104</v>
      </c>
      <c r="E18" s="8">
        <f>D18-125</f>
        <v>1685.4128617528104</v>
      </c>
      <c r="F18" s="8">
        <f>SQRT(E18^2-G18^2)</f>
        <v>1684.7492195570326</v>
      </c>
      <c r="G18" s="8">
        <f>SQRT((E18^2)/(((B18/C18)^2)+1))</f>
        <v>47.292512766479113</v>
      </c>
      <c r="H18" s="32"/>
      <c r="I18" s="8">
        <f>[1]INPUTS!U18</f>
        <v>1652.9</v>
      </c>
      <c r="J18" s="8">
        <f>[1]INPUTS!V18</f>
        <v>50.8</v>
      </c>
      <c r="K18" s="8">
        <f>SQRT(I18^2+J18^2)</f>
        <v>1653.680455831779</v>
      </c>
      <c r="L18" s="8">
        <f>K18-125</f>
        <v>1528.680455831779</v>
      </c>
      <c r="M18" s="8">
        <f>SQRT(L18^2-N18^2)</f>
        <v>1527.9589938513384</v>
      </c>
      <c r="N18" s="8">
        <f>SQRT((L18^2)/(((I18/J18)^2)+1))</f>
        <v>46.960080396665241</v>
      </c>
      <c r="P18" s="8">
        <f>[1]INPUTS!AE18</f>
        <v>1879.6</v>
      </c>
      <c r="Q18" s="8">
        <f>[1]INPUTS!AF18</f>
        <v>50.7</v>
      </c>
      <c r="R18" s="8">
        <f>SQRT(P18^2+Q18^2)</f>
        <v>1880.2836621105869</v>
      </c>
      <c r="S18" s="8">
        <f>R18-80</f>
        <v>1800.2836621105869</v>
      </c>
      <c r="T18" s="8">
        <f>SQRT(S18^2-U18^2)</f>
        <v>1799.6290876158471</v>
      </c>
      <c r="U18" s="8">
        <f>SQRT((S18^2)/(((P18/Q18)^2)+1))</f>
        <v>48.542878666803276</v>
      </c>
      <c r="V18" s="1"/>
      <c r="W18" s="8">
        <f>[1]INPUTS!AJ18</f>
        <v>1564.2</v>
      </c>
      <c r="X18" s="8">
        <f>[1]INPUTS!AK18</f>
        <v>50.7</v>
      </c>
      <c r="Y18" s="8">
        <f>SQRT(W18^2+X18^2)</f>
        <v>1565.0214471373868</v>
      </c>
      <c r="Z18" s="8">
        <f>Y18-80</f>
        <v>1485.0214471373868</v>
      </c>
      <c r="AA18" s="8">
        <f>SQRT(Z18^2-AB18^2)</f>
        <v>1484.2419903325358</v>
      </c>
      <c r="AB18" s="8">
        <f>SQRT((Z18^2)/(((W18/X18)^2)+1))</f>
        <v>48.108342225968272</v>
      </c>
      <c r="AC18" s="2"/>
    </row>
    <row r="19" spans="1:29" ht="15.75" customHeight="1" x14ac:dyDescent="0.3">
      <c r="A19" s="1"/>
      <c r="B19" s="8">
        <f>[1]INPUTS!P19</f>
        <v>1787.4</v>
      </c>
      <c r="C19" s="8">
        <f>[1]INPUTS!Q19</f>
        <v>-98.3</v>
      </c>
      <c r="D19" s="8">
        <f>SQRT(B19^2+C19^2)</f>
        <v>1790.1010167026889</v>
      </c>
      <c r="E19" s="8">
        <f>D19-125</f>
        <v>1665.1010167026889</v>
      </c>
      <c r="F19" s="8">
        <f>SQRT(E19^2-G19^2)</f>
        <v>1662.5886078409465</v>
      </c>
      <c r="G19" s="31">
        <f>-SQRT((E19^2)/(((B19/C19)^2)+1))</f>
        <v>-91.43586223048284</v>
      </c>
      <c r="H19" s="32"/>
      <c r="I19" s="8">
        <f>[1]INPUTS!U19</f>
        <v>1627.9</v>
      </c>
      <c r="J19" s="8">
        <f>[1]INPUTS!V19</f>
        <v>-89.9</v>
      </c>
      <c r="K19" s="8">
        <f>SQRT(I19^2+J19^2)</f>
        <v>1630.3804525324756</v>
      </c>
      <c r="L19" s="8">
        <f>K19-125</f>
        <v>1505.3804525324756</v>
      </c>
      <c r="M19" s="8">
        <f>SQRT(L19^2-N19^2)</f>
        <v>1503.090174364565</v>
      </c>
      <c r="N19" s="31">
        <f>-SQRT((L19^2)/(((I19/J19)^2)+1))</f>
        <v>-83.007436989602795</v>
      </c>
      <c r="P19" s="8">
        <f>[1]INPUTS!AE19</f>
        <v>1872.5</v>
      </c>
      <c r="Q19" s="8">
        <f>[1]INPUTS!AF19</f>
        <v>-90</v>
      </c>
      <c r="R19" s="8">
        <f>SQRT(P19^2+Q19^2)</f>
        <v>1874.6616361359722</v>
      </c>
      <c r="S19" s="8">
        <f>R19-80</f>
        <v>1794.6616361359722</v>
      </c>
      <c r="T19" s="8">
        <f>SQRT(S19^2-U19^2)</f>
        <v>1792.5922464553307</v>
      </c>
      <c r="U19" s="31">
        <f>-SQRT((S19^2)/(((P19/Q19)^2)+1))</f>
        <v>-86.159306905730176</v>
      </c>
      <c r="V19" s="1"/>
      <c r="W19" s="8">
        <f>[1]INPUTS!AJ19</f>
        <v>1545.9</v>
      </c>
      <c r="X19" s="8">
        <f>[1]INPUTS!AK19</f>
        <v>-90</v>
      </c>
      <c r="Y19" s="8">
        <f>SQRT(W19^2+X19^2)</f>
        <v>1548.5176169485449</v>
      </c>
      <c r="Z19" s="8">
        <f>Y19-80</f>
        <v>1468.5176169485449</v>
      </c>
      <c r="AA19" s="8">
        <f>SQRT(Z19^2-AB19^2)</f>
        <v>1466.0352321430455</v>
      </c>
      <c r="AB19" s="31">
        <f>-SQRT((Z19^2)/(((W19/X19)^2)+1))</f>
        <v>-85.350391935360676</v>
      </c>
    </row>
    <row r="20" spans="1:29" ht="15.75" customHeight="1" x14ac:dyDescent="0.3">
      <c r="A20" s="1"/>
      <c r="B20" s="8">
        <f>[1]INPUTS!P20</f>
        <v>1754.7</v>
      </c>
      <c r="C20" s="8">
        <f>[1]INPUTS!Q20</f>
        <v>-230.5</v>
      </c>
      <c r="D20" s="8">
        <f>SQRT(B20^2+C20^2)</f>
        <v>1769.7746579720256</v>
      </c>
      <c r="E20" s="8">
        <f>D20-125</f>
        <v>1644.7746579720256</v>
      </c>
      <c r="F20" s="8">
        <f>SQRT(E20^2-G20^2)</f>
        <v>1630.7647300423334</v>
      </c>
      <c r="G20" s="31">
        <f>-SQRT((E20^2)/(((B20/C20)^2)+1))</f>
        <v>-214.21967873411859</v>
      </c>
      <c r="H20" s="32"/>
      <c r="I20" s="8">
        <f>[1]INPUTS!U20</f>
        <v>1584.6</v>
      </c>
      <c r="J20" s="8">
        <f>[1]INPUTS!V20</f>
        <v>-230.5</v>
      </c>
      <c r="K20" s="8">
        <f>SQRT(I20^2+J20^2)</f>
        <v>1601.2768061768707</v>
      </c>
      <c r="L20" s="8">
        <f>K20-125</f>
        <v>1476.2768061768707</v>
      </c>
      <c r="M20" s="8">
        <f>SQRT(L20^2-N20^2)</f>
        <v>1460.9018366119258</v>
      </c>
      <c r="N20" s="31">
        <f>-SQRT((L20^2)/(((I20/J20)^2)+1))</f>
        <v>-212.50654634548081</v>
      </c>
      <c r="P20" s="8">
        <f>[1]INPUTS!AE20</f>
        <v>1837.4</v>
      </c>
      <c r="Q20" s="8">
        <f>[1]INPUTS!AF20</f>
        <v>-230.1</v>
      </c>
      <c r="R20" s="8">
        <f>SQRT(P20^2+Q20^2)</f>
        <v>1851.7518111237262</v>
      </c>
      <c r="S20" s="8">
        <f>R20-80</f>
        <v>1771.7518111237262</v>
      </c>
      <c r="T20" s="8">
        <f>SQRT(S20^2-U20^2)</f>
        <v>1758.0200317358951</v>
      </c>
      <c r="U20" s="31">
        <f>-SQRT((S20^2)/(((P20/Q20)^2)+1))</f>
        <v>-220.15914297508951</v>
      </c>
      <c r="V20" s="1"/>
      <c r="W20" s="8">
        <f>[1]INPUTS!AJ20</f>
        <v>1489.1</v>
      </c>
      <c r="X20" s="8">
        <f>[1]INPUTS!AK20</f>
        <v>-230.1</v>
      </c>
      <c r="Y20" s="8">
        <f>SQRT(W20^2+X20^2)</f>
        <v>1506.7729822372046</v>
      </c>
      <c r="Z20" s="8">
        <f>Y20-80</f>
        <v>1426.7729822372046</v>
      </c>
      <c r="AA20" s="8">
        <f>SQRT(Z20^2-AB20^2)</f>
        <v>1410.0383222261371</v>
      </c>
      <c r="AB20" s="31">
        <f>-SQRT((Z20^2)/(((W20/X20)^2)+1))</f>
        <v>-217.88316294690361</v>
      </c>
      <c r="AC20" s="2"/>
    </row>
    <row r="21" spans="1:29" ht="15" x14ac:dyDescent="0.25">
      <c r="A21" s="1"/>
      <c r="B21" s="8">
        <f>[1]INPUTS!P21</f>
        <v>1705</v>
      </c>
      <c r="C21" s="8">
        <f>[1]INPUTS!Q21</f>
        <v>-379.1</v>
      </c>
      <c r="D21" s="8">
        <f>SQRT(B21^2+C21^2)</f>
        <v>1746.6372863305078</v>
      </c>
      <c r="E21" s="8">
        <f>D21-125</f>
        <v>1621.6372863305078</v>
      </c>
      <c r="F21" s="8">
        <f>SQRT(E21^2-G21^2)</f>
        <v>1582.9798177515424</v>
      </c>
      <c r="G21" s="31">
        <f>-SQRT((E21^2)/(((B21/C21)^2)+1))</f>
        <v>-351.96929554815819</v>
      </c>
      <c r="H21" s="1"/>
      <c r="I21" s="8">
        <f>[1]INPUTS!U21</f>
        <v>1531</v>
      </c>
      <c r="J21" s="8">
        <f>[1]INPUTS!V21</f>
        <v>-357.2</v>
      </c>
      <c r="K21" s="8">
        <f>SQRT(I21^2+J21^2)</f>
        <v>1572.1173111444323</v>
      </c>
      <c r="L21" s="8">
        <f>K21-125</f>
        <v>1447.1173111444323</v>
      </c>
      <c r="M21" s="8">
        <f>SQRT(L21^2-N21^2)</f>
        <v>1409.2692623232501</v>
      </c>
      <c r="N21" s="31">
        <f>-SQRT((L21^2)/(((I21/J21)^2)+1))</f>
        <v>-328.7988115622893</v>
      </c>
      <c r="O21" s="1"/>
      <c r="P21" s="8">
        <f>[1]INPUTS!AE21</f>
        <v>1802.3</v>
      </c>
      <c r="Q21" s="8">
        <f>[1]INPUTS!AF21</f>
        <v>-370.3</v>
      </c>
      <c r="R21" s="8">
        <f>SQRT(P21^2+Q21^2)</f>
        <v>1839.9476568641837</v>
      </c>
      <c r="S21" s="8">
        <f>R21-80</f>
        <v>1759.9476568641837</v>
      </c>
      <c r="T21" s="8">
        <f>SQRT(S21^2-U21^2)</f>
        <v>1723.9369012117811</v>
      </c>
      <c r="U21" s="31">
        <f>-SQRT((S21^2)/(((P21/Q21)^2)+1))</f>
        <v>-354.19954198453229</v>
      </c>
      <c r="V21" s="1"/>
      <c r="W21" s="8">
        <f>[1]INPUTS!AJ21</f>
        <v>1432.3</v>
      </c>
      <c r="X21" s="8">
        <f>[1]INPUTS!AK21</f>
        <v>-370.3</v>
      </c>
      <c r="Y21" s="8">
        <f>SQRT(W21^2+X21^2)</f>
        <v>1479.3935852233508</v>
      </c>
      <c r="Z21" s="8">
        <f>Y21-80</f>
        <v>1399.3935852233508</v>
      </c>
      <c r="AA21" s="8">
        <f>SQRT(Z21^2-AB21^2)</f>
        <v>1354.8466426618979</v>
      </c>
      <c r="AB21" s="31">
        <f>-SQRT((Z21^2)/(((W21/X21)^2)+1))</f>
        <v>-350.27557898324432</v>
      </c>
      <c r="AC21" s="1"/>
    </row>
    <row r="22" spans="1:29" ht="15" x14ac:dyDescent="0.25">
      <c r="A22" s="1"/>
      <c r="B22" s="8">
        <f>[1]INPUTS!P22</f>
        <v>1648.2</v>
      </c>
      <c r="C22" s="8">
        <f>[1]INPUTS!Q22</f>
        <v>-508.5</v>
      </c>
      <c r="D22" s="8">
        <f>SQRT(B22^2+C22^2)</f>
        <v>1724.8581072076624</v>
      </c>
      <c r="E22" s="8">
        <f>D22-125</f>
        <v>1599.8581072076624</v>
      </c>
      <c r="F22" s="8">
        <f>SQRT(E22^2-G22^2)</f>
        <v>1528.7553922730899</v>
      </c>
      <c r="G22" s="31">
        <f>-SQRT((E22^2)/(((B22/C22)^2)+1))</f>
        <v>-471.6491426834524</v>
      </c>
      <c r="H22" s="1"/>
      <c r="I22" s="8">
        <f>[1]INPUTS!U22</f>
        <v>1452.8</v>
      </c>
      <c r="J22" s="8">
        <f>[1]INPUTS!V22</f>
        <v>-508.5</v>
      </c>
      <c r="K22" s="8">
        <f>SQRT(I22^2+J22^2)</f>
        <v>1539.2206112185479</v>
      </c>
      <c r="L22" s="8">
        <f>K22-125</f>
        <v>1414.2206112185479</v>
      </c>
      <c r="M22" s="8">
        <f>SQRT(L22^2-N22^2)</f>
        <v>1334.8182118947632</v>
      </c>
      <c r="N22" s="31">
        <f>-SQRT((L22^2)/(((I22/J22)^2)+1))</f>
        <v>-467.20474996454232</v>
      </c>
      <c r="O22" s="1"/>
      <c r="P22" s="8">
        <f>[1]INPUTS!AE22</f>
        <v>1740.5</v>
      </c>
      <c r="Q22" s="8">
        <f>[1]INPUTS!AF22</f>
        <v>-510.9</v>
      </c>
      <c r="R22" s="8">
        <f>SQRT(P22^2+Q22^2)</f>
        <v>1813.9346901142831</v>
      </c>
      <c r="S22" s="8">
        <f>R22-80</f>
        <v>1733.9346901142831</v>
      </c>
      <c r="T22" s="8">
        <f>SQRT(S22^2-U22^2)</f>
        <v>1663.7386916911394</v>
      </c>
      <c r="U22" s="31">
        <f>-SQRT((S22^2)/(((P22/Q22)^2)+1))</f>
        <v>-488.36776649526178</v>
      </c>
      <c r="V22" s="1"/>
      <c r="W22" s="8">
        <f>[1]INPUTS!AJ22</f>
        <v>1358.1</v>
      </c>
      <c r="X22" s="8">
        <f>[1]INPUTS!AK22</f>
        <v>-508.5</v>
      </c>
      <c r="Y22" s="8">
        <f>SQRT(W22^2+X22^2)</f>
        <v>1450.1751135638756</v>
      </c>
      <c r="Z22" s="8">
        <f>Y22-80</f>
        <v>1370.1751135638756</v>
      </c>
      <c r="AA22" s="8">
        <f>SQRT(Z22^2-AB22^2)</f>
        <v>1283.1793928376053</v>
      </c>
      <c r="AB22" s="31">
        <f>-SQRT((Z22^2)/(((W22/X22)^2)+1))</f>
        <v>-480.44821534343743</v>
      </c>
      <c r="AC22" s="1"/>
    </row>
    <row r="23" spans="1:29" ht="15" x14ac:dyDescent="0.25">
      <c r="A23" s="1"/>
      <c r="B23" s="8">
        <f>[1]INPUTS!P23</f>
        <v>1594.2</v>
      </c>
      <c r="C23" s="8">
        <f>[1]INPUTS!Q23</f>
        <v>-631.4</v>
      </c>
      <c r="D23" s="8">
        <f>SQRT(B23^2+C23^2)</f>
        <v>1714.6835276516772</v>
      </c>
      <c r="E23" s="8">
        <f>D23-125</f>
        <v>1589.6835276516772</v>
      </c>
      <c r="F23" s="8">
        <f>SQRT(E23^2-G23^2)</f>
        <v>1477.983219010149</v>
      </c>
      <c r="G23" s="31">
        <f>-SQRT((E23^2)/(((B23/C23)^2)+1))</f>
        <v>-585.37109803224689</v>
      </c>
      <c r="H23" s="1"/>
      <c r="I23" s="8">
        <f>[1]INPUTS!U23</f>
        <v>1391.2</v>
      </c>
      <c r="J23" s="8">
        <f>[1]INPUTS!V23</f>
        <v>-621.70000000000005</v>
      </c>
      <c r="K23" s="8">
        <f>SQRT(I23^2+J23^2)</f>
        <v>1523.7940576075232</v>
      </c>
      <c r="L23" s="8">
        <f>K23-125</f>
        <v>1398.7940576075232</v>
      </c>
      <c r="M23" s="8">
        <f>SQRT(L23^2-N23^2)</f>
        <v>1277.0769666860122</v>
      </c>
      <c r="N23" s="31">
        <f>-SQRT((L23^2)/(((I23/J23)^2)+1))</f>
        <v>-570.70065424719212</v>
      </c>
      <c r="O23" s="1"/>
      <c r="P23" s="8">
        <f>[1]INPUTS!AE23</f>
        <v>1690</v>
      </c>
      <c r="Q23" s="8">
        <f>[1]INPUTS!AF23</f>
        <v>-632.4</v>
      </c>
      <c r="R23" s="8">
        <f>SQRT(P23^2+Q23^2)</f>
        <v>1804.4472172939834</v>
      </c>
      <c r="S23" s="8">
        <f>R23-80</f>
        <v>1724.4472172939834</v>
      </c>
      <c r="T23" s="8">
        <f>SQRT(S23^2-U23^2)</f>
        <v>1615.0740067627189</v>
      </c>
      <c r="U23" s="31">
        <f>-SQRT((S23^2)/(((P23/Q23)^2)+1))</f>
        <v>-604.36260466079489</v>
      </c>
      <c r="V23" s="1"/>
      <c r="W23" s="8">
        <f>[1]INPUTS!AJ23</f>
        <v>1291.5</v>
      </c>
      <c r="X23" s="8">
        <f>[1]INPUTS!AK23</f>
        <v>-612.5</v>
      </c>
      <c r="Y23" s="8">
        <f>SQRT(W23^2+X23^2)</f>
        <v>1429.380460199453</v>
      </c>
      <c r="Z23" s="8">
        <f>Y23-80</f>
        <v>1349.380460199453</v>
      </c>
      <c r="AA23" s="8">
        <f>SQRT(Z23^2-AB23^2)</f>
        <v>1219.2169354997459</v>
      </c>
      <c r="AB23" s="31">
        <f>-SQRT((Z23^2)/(((W23/X23)^2)+1))</f>
        <v>-578.21941385489311</v>
      </c>
      <c r="AC23" s="1"/>
    </row>
    <row r="24" spans="1:29" ht="15" x14ac:dyDescent="0.25">
      <c r="A24" s="1"/>
      <c r="B24" s="5"/>
      <c r="C24" s="5"/>
      <c r="D24" s="5"/>
      <c r="E24" s="5"/>
      <c r="F24" s="5"/>
      <c r="G24" s="30" t="s">
        <v>27</v>
      </c>
      <c r="H24" s="1"/>
      <c r="I24" s="1"/>
      <c r="J24" s="1"/>
      <c r="K24" s="1"/>
      <c r="L24" s="1"/>
      <c r="M24" s="1"/>
      <c r="N24" s="30" t="s">
        <v>27</v>
      </c>
      <c r="O24" s="1"/>
      <c r="P24" s="1"/>
      <c r="Q24" s="1"/>
      <c r="R24" s="1"/>
      <c r="S24" s="1"/>
      <c r="T24" s="1"/>
      <c r="U24" s="30" t="s">
        <v>27</v>
      </c>
      <c r="V24" s="1"/>
      <c r="W24" s="5"/>
      <c r="X24" s="5"/>
      <c r="Y24" s="5"/>
      <c r="Z24" s="5"/>
      <c r="AA24" s="5"/>
      <c r="AB24" s="30" t="s">
        <v>27</v>
      </c>
      <c r="AC24" s="1"/>
    </row>
    <row r="25" spans="1:29" ht="15" x14ac:dyDescent="0.25">
      <c r="A25" s="1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3">
      <c r="A26" s="1"/>
      <c r="B26" s="21" t="s">
        <v>26</v>
      </c>
      <c r="C26" s="1"/>
      <c r="D26" s="1"/>
      <c r="E26" s="1"/>
      <c r="F26" s="1"/>
      <c r="G26" s="1"/>
      <c r="H26" s="1"/>
      <c r="I26" s="1"/>
      <c r="J26" s="1"/>
      <c r="K26" s="2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" x14ac:dyDescent="0.25">
      <c r="A28" s="1"/>
      <c r="B28" s="1" t="s">
        <v>24</v>
      </c>
      <c r="C28" s="1" t="s">
        <v>23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6" x14ac:dyDescent="0.3">
      <c r="A29" s="1"/>
      <c r="B29" s="25" t="s">
        <v>9</v>
      </c>
      <c r="C29" s="25" t="s">
        <v>8</v>
      </c>
      <c r="D29" s="19" t="s">
        <v>22</v>
      </c>
      <c r="E29" s="21"/>
      <c r="F29" s="21"/>
      <c r="G29" s="21"/>
      <c r="H29" s="1"/>
      <c r="I29" s="1"/>
      <c r="J29" s="1"/>
      <c r="K29" s="29"/>
      <c r="L29" s="29"/>
      <c r="M29" s="21"/>
      <c r="N29" s="21"/>
      <c r="O29" s="2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6" x14ac:dyDescent="0.3">
      <c r="A30" s="1"/>
      <c r="B30" s="28">
        <f>B19</f>
        <v>1787.4</v>
      </c>
      <c r="C30" s="28">
        <f>C19</f>
        <v>-98.3</v>
      </c>
      <c r="D30" s="28">
        <f>SQRT(B30^2+C30^2)</f>
        <v>1790.1010167026889</v>
      </c>
      <c r="E30" s="26"/>
      <c r="F30" s="21"/>
      <c r="G30" s="21"/>
      <c r="H30" s="21"/>
      <c r="I30" s="1"/>
      <c r="J30" s="1"/>
      <c r="K30" s="26"/>
      <c r="L30" s="26"/>
      <c r="M30" s="26"/>
      <c r="N30" s="26"/>
      <c r="O30" s="2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6" x14ac:dyDescent="0.3">
      <c r="A31" s="1"/>
      <c r="B31" s="28">
        <f>B20</f>
        <v>1754.7</v>
      </c>
      <c r="C31" s="28">
        <f>C20</f>
        <v>-230.5</v>
      </c>
      <c r="D31" s="28">
        <f>SQRT(B31^2+C31^2)</f>
        <v>1769.7746579720256</v>
      </c>
      <c r="E31" s="26"/>
      <c r="F31" s="21"/>
      <c r="G31" s="21"/>
      <c r="H31" s="21"/>
      <c r="I31" s="1"/>
      <c r="J31" s="1"/>
      <c r="K31" s="26"/>
      <c r="L31" s="26"/>
      <c r="M31" s="26"/>
      <c r="N31" s="26"/>
      <c r="O31" s="2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" x14ac:dyDescent="0.25">
      <c r="A33" s="1"/>
      <c r="B33" s="1"/>
      <c r="C33" s="1" t="s">
        <v>21</v>
      </c>
      <c r="D33" s="26">
        <f>(D30+D31)/2</f>
        <v>1779.9378373373572</v>
      </c>
      <c r="E33" s="1" t="s">
        <v>1</v>
      </c>
      <c r="F33" s="27" t="s">
        <v>20</v>
      </c>
      <c r="G33" s="1"/>
      <c r="H33" s="1"/>
      <c r="I33" s="1"/>
      <c r="J33" s="1"/>
      <c r="K33" s="1"/>
      <c r="L33" s="1"/>
      <c r="M33" s="2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" x14ac:dyDescent="0.25">
      <c r="A35" s="1"/>
      <c r="B35" s="1"/>
      <c r="C35" s="1" t="s">
        <v>19</v>
      </c>
      <c r="D35" s="2">
        <f>[1]INPUTS!C12</f>
        <v>-508.5</v>
      </c>
      <c r="E35" s="1" t="s">
        <v>1</v>
      </c>
      <c r="F35" s="1"/>
      <c r="G35" s="1"/>
      <c r="H35" s="1"/>
      <c r="I35" s="1"/>
      <c r="J35" s="1"/>
      <c r="K35" s="1"/>
      <c r="L35" s="1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" x14ac:dyDescent="0.25">
      <c r="A37" s="1"/>
      <c r="B37" s="1"/>
      <c r="C37" s="1" t="s">
        <v>18</v>
      </c>
      <c r="D37" s="26">
        <f>SQRT(D33^2-D35^2)</f>
        <v>1705.7568568776701</v>
      </c>
      <c r="E37" s="1" t="s">
        <v>1</v>
      </c>
      <c r="F37" s="1"/>
      <c r="G37" s="1"/>
      <c r="H37" s="1"/>
      <c r="I37" s="1"/>
      <c r="J37" s="1"/>
      <c r="K37" s="1"/>
      <c r="L37" s="1"/>
      <c r="M37" s="2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6" x14ac:dyDescent="0.3">
      <c r="A39" s="1"/>
      <c r="B39" s="21" t="s">
        <v>25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" x14ac:dyDescent="0.25">
      <c r="A41" s="1"/>
      <c r="B41" s="1" t="s">
        <v>24</v>
      </c>
      <c r="C41" s="1" t="s">
        <v>23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6" x14ac:dyDescent="0.3">
      <c r="A42" s="1"/>
      <c r="B42" s="25" t="s">
        <v>9</v>
      </c>
      <c r="C42" s="25" t="s">
        <v>8</v>
      </c>
      <c r="D42" s="19" t="s">
        <v>22</v>
      </c>
      <c r="E42" s="21"/>
      <c r="F42" s="2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6" x14ac:dyDescent="0.3">
      <c r="A43" s="1"/>
      <c r="B43" s="28">
        <v>-1798.65</v>
      </c>
      <c r="C43" s="28">
        <v>-9.7149999999999999</v>
      </c>
      <c r="D43" s="28">
        <f>SQRT(B43^2+C43^2)</f>
        <v>1798.6762364931051</v>
      </c>
      <c r="E43" s="26"/>
      <c r="F43" s="2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6" x14ac:dyDescent="0.3">
      <c r="A44" s="1"/>
      <c r="B44" s="28">
        <v>-1750.9559999999999</v>
      </c>
      <c r="C44" s="28">
        <v>-208.517</v>
      </c>
      <c r="D44" s="28">
        <f>SQRT(B44^2+C44^2)</f>
        <v>1763.32817513502</v>
      </c>
      <c r="E44" s="26"/>
      <c r="F44" s="2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" x14ac:dyDescent="0.25">
      <c r="A46" s="1"/>
      <c r="B46" s="1"/>
      <c r="C46" s="1" t="s">
        <v>21</v>
      </c>
      <c r="D46" s="26">
        <f>(D43+D44)/2</f>
        <v>1781.0022058140626</v>
      </c>
      <c r="E46" s="1" t="s">
        <v>1</v>
      </c>
      <c r="F46" s="27" t="s">
        <v>20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" x14ac:dyDescent="0.25">
      <c r="A48" s="1"/>
      <c r="B48" s="1"/>
      <c r="C48" s="1" t="s">
        <v>19</v>
      </c>
      <c r="D48" s="2">
        <f>D35+107</f>
        <v>-401.5</v>
      </c>
      <c r="E48" s="1" t="s">
        <v>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" x14ac:dyDescent="0.25">
      <c r="A50" s="1"/>
      <c r="B50" s="1"/>
      <c r="C50" s="1" t="s">
        <v>18</v>
      </c>
      <c r="D50" s="26">
        <f>SQRT(D46^2-D48^2)</f>
        <v>1735.1560757218806</v>
      </c>
      <c r="E50" s="1" t="s">
        <v>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6" x14ac:dyDescent="0.3">
      <c r="A52" s="1"/>
      <c r="B52" s="21" t="s">
        <v>17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6" x14ac:dyDescent="0.3">
      <c r="A54" s="1"/>
      <c r="B54" s="25" t="s">
        <v>10</v>
      </c>
      <c r="C54" s="25" t="s">
        <v>9</v>
      </c>
      <c r="D54" s="19" t="s">
        <v>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" x14ac:dyDescent="0.25">
      <c r="A55" s="1"/>
      <c r="B55" s="16">
        <v>9510</v>
      </c>
      <c r="C55" s="16">
        <v>-111.8</v>
      </c>
      <c r="D55" s="16">
        <v>2393.1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" x14ac:dyDescent="0.25">
      <c r="A56" s="1"/>
      <c r="B56" s="16">
        <v>9510</v>
      </c>
      <c r="C56" s="16">
        <v>-362.2</v>
      </c>
      <c r="D56" s="16">
        <v>2343.3000000000002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" x14ac:dyDescent="0.25">
      <c r="A57" s="1"/>
      <c r="B57" s="24">
        <v>9510</v>
      </c>
      <c r="C57" s="24">
        <v>-591</v>
      </c>
      <c r="D57" s="24">
        <v>2275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 x14ac:dyDescent="0.25">
      <c r="A58" s="1"/>
      <c r="B58" s="24">
        <v>9510</v>
      </c>
      <c r="C58" s="24">
        <v>-853.1</v>
      </c>
      <c r="D58" s="24">
        <v>2134.3000000000002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" x14ac:dyDescent="0.25">
      <c r="A59" s="1"/>
      <c r="B59" s="24">
        <v>9510</v>
      </c>
      <c r="C59" s="24">
        <v>-1069.4000000000001</v>
      </c>
      <c r="D59" s="24">
        <v>1970.3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" x14ac:dyDescent="0.25">
      <c r="A60" s="1"/>
      <c r="B60" s="24">
        <v>9510</v>
      </c>
      <c r="C60" s="24">
        <v>-1248.7</v>
      </c>
      <c r="D60" s="24">
        <v>1794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" x14ac:dyDescent="0.25">
      <c r="A61" s="1"/>
      <c r="B61" s="24">
        <v>9510</v>
      </c>
      <c r="C61" s="24">
        <v>-1405.2</v>
      </c>
      <c r="D61" s="24">
        <v>1601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" x14ac:dyDescent="0.25">
      <c r="A62" s="1"/>
      <c r="B62" s="24">
        <v>9510</v>
      </c>
      <c r="C62" s="24">
        <v>-1539.2</v>
      </c>
      <c r="D62" s="24">
        <v>1393.8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" x14ac:dyDescent="0.25">
      <c r="A63" s="1"/>
      <c r="B63" s="24">
        <v>9510</v>
      </c>
      <c r="C63" s="24">
        <v>-1652.9</v>
      </c>
      <c r="D63" s="24">
        <v>1168.5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" x14ac:dyDescent="0.25">
      <c r="A64" s="1"/>
      <c r="B64" s="24">
        <v>9510</v>
      </c>
      <c r="C64" s="24">
        <v>-1739.9</v>
      </c>
      <c r="D64" s="24">
        <v>934.4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" x14ac:dyDescent="0.25">
      <c r="A65" s="1"/>
      <c r="B65" s="24">
        <v>9510</v>
      </c>
      <c r="C65" s="24">
        <v>-1798</v>
      </c>
      <c r="D65" s="24">
        <v>695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" x14ac:dyDescent="0.25">
      <c r="A66" s="1"/>
      <c r="B66" s="24">
        <v>9510</v>
      </c>
      <c r="C66" s="24">
        <v>-1826.7</v>
      </c>
      <c r="D66" s="24">
        <v>450.1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" x14ac:dyDescent="0.25">
      <c r="A67" s="1"/>
      <c r="B67" s="24">
        <v>9510</v>
      </c>
      <c r="C67" s="24">
        <v>-1827.4</v>
      </c>
      <c r="D67" s="24">
        <v>206.5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" x14ac:dyDescent="0.25">
      <c r="A68" s="1"/>
      <c r="B68" s="24">
        <v>9510</v>
      </c>
      <c r="C68" s="24">
        <v>-1798.7</v>
      </c>
      <c r="D68" s="24">
        <v>-9.6999999999999993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" x14ac:dyDescent="0.25">
      <c r="A69" s="1"/>
      <c r="B69" s="24">
        <v>9510</v>
      </c>
      <c r="C69" s="24">
        <v>-1751</v>
      </c>
      <c r="D69" s="24">
        <v>-208.5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" x14ac:dyDescent="0.25">
      <c r="A70" s="1"/>
      <c r="B70" s="24">
        <v>9510</v>
      </c>
      <c r="C70" s="24">
        <v>-1670.5</v>
      </c>
      <c r="D70" s="24">
        <v>-432.6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" x14ac:dyDescent="0.25">
      <c r="A71" s="1"/>
      <c r="B71" s="16">
        <v>9510</v>
      </c>
      <c r="C71" s="16">
        <v>-1565</v>
      </c>
      <c r="D71" s="16">
        <v>-646.9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" x14ac:dyDescent="0.25">
      <c r="A72" s="1"/>
      <c r="B72" s="16">
        <v>9510</v>
      </c>
      <c r="C72" s="16">
        <v>-1436.2</v>
      </c>
      <c r="D72" s="16">
        <v>-848.8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" x14ac:dyDescent="0.25">
      <c r="A73" s="1"/>
      <c r="B73" s="16">
        <v>9510</v>
      </c>
      <c r="C73" s="16">
        <v>-1286.2</v>
      </c>
      <c r="D73" s="16">
        <v>-1035.9000000000001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" x14ac:dyDescent="0.25">
      <c r="A74" s="1"/>
      <c r="B74" s="16">
        <v>9510</v>
      </c>
      <c r="C74" s="16">
        <v>-1118.5999999999999</v>
      </c>
      <c r="D74" s="16">
        <v>-1203.3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" x14ac:dyDescent="0.25">
      <c r="A75" s="1"/>
      <c r="B75" s="16">
        <v>9510</v>
      </c>
      <c r="C75" s="16">
        <v>-929.5</v>
      </c>
      <c r="D75" s="16">
        <v>-1346.6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" x14ac:dyDescent="0.25">
      <c r="A76" s="1"/>
      <c r="B76" s="16">
        <v>9510</v>
      </c>
      <c r="C76" s="16">
        <v>-722.1</v>
      </c>
      <c r="D76" s="16">
        <v>-1463.3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" x14ac:dyDescent="0.25">
      <c r="A77" s="1"/>
      <c r="B77" s="16">
        <v>9510</v>
      </c>
      <c r="C77" s="16">
        <v>-526.29999999999995</v>
      </c>
      <c r="D77" s="16">
        <v>-1542.4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" x14ac:dyDescent="0.25">
      <c r="A78" s="1"/>
      <c r="B78" s="16">
        <v>9510</v>
      </c>
      <c r="C78" s="16">
        <v>-321.89999999999998</v>
      </c>
      <c r="D78" s="16">
        <v>-1597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" x14ac:dyDescent="0.25">
      <c r="A79" s="1"/>
      <c r="B79" s="16">
        <v>9510</v>
      </c>
      <c r="C79" s="16">
        <v>-111.9</v>
      </c>
      <c r="D79" s="16">
        <v>-1625.3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" x14ac:dyDescent="0.25">
      <c r="A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6" x14ac:dyDescent="0.3">
      <c r="A81" s="1"/>
      <c r="B81" s="21" t="s">
        <v>16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6" x14ac:dyDescent="0.3">
      <c r="A83" s="1"/>
      <c r="B83" s="21"/>
      <c r="C83" s="20" t="s">
        <v>13</v>
      </c>
      <c r="D83" s="13"/>
      <c r="E83" s="12"/>
      <c r="F83" s="20" t="s">
        <v>12</v>
      </c>
      <c r="G83" s="13"/>
      <c r="H83" s="1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6" x14ac:dyDescent="0.3">
      <c r="A84" s="1"/>
      <c r="B84" s="19" t="s">
        <v>11</v>
      </c>
      <c r="C84" s="23" t="s">
        <v>10</v>
      </c>
      <c r="D84" s="19" t="s">
        <v>9</v>
      </c>
      <c r="E84" s="19" t="s">
        <v>8</v>
      </c>
      <c r="F84" s="19" t="s">
        <v>10</v>
      </c>
      <c r="G84" s="19" t="s">
        <v>9</v>
      </c>
      <c r="H84" s="19" t="s">
        <v>8</v>
      </c>
      <c r="I84" s="1"/>
      <c r="J84" s="4"/>
      <c r="K84" s="4"/>
      <c r="L84" s="4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" x14ac:dyDescent="0.25">
      <c r="A85" s="1"/>
      <c r="B85" s="17">
        <v>6</v>
      </c>
      <c r="C85" s="16">
        <f>[1]INPUTS!$C$9</f>
        <v>38624.400000000001</v>
      </c>
      <c r="D85" s="16">
        <v>-1013.2197652711669</v>
      </c>
      <c r="E85" s="16">
        <v>2134.3000000000002</v>
      </c>
      <c r="F85" s="16">
        <f>[1]INPUTS!$C$10</f>
        <v>39604.400000000001</v>
      </c>
      <c r="G85" s="16">
        <v>-1208.5706003783021</v>
      </c>
      <c r="H85" s="16">
        <v>2134.3000000000002</v>
      </c>
      <c r="I85" s="1"/>
      <c r="J85" s="4"/>
      <c r="K85" s="2"/>
      <c r="L85" s="2"/>
      <c r="M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" x14ac:dyDescent="0.25">
      <c r="A86" s="1"/>
      <c r="B86" s="17">
        <v>7</v>
      </c>
      <c r="C86" s="16">
        <f>[1]INPUTS!$C$9</f>
        <v>38624.400000000001</v>
      </c>
      <c r="D86" s="16">
        <v>-1229.2449494577281</v>
      </c>
      <c r="E86" s="16">
        <v>1970.2840000000001</v>
      </c>
      <c r="F86" s="16">
        <f>[1]INPUTS!$C$10</f>
        <v>39604.400000000001</v>
      </c>
      <c r="G86" s="16">
        <v>-1400.9580923688288</v>
      </c>
      <c r="H86" s="16">
        <v>1970.2840000000001</v>
      </c>
      <c r="I86" s="1"/>
      <c r="J86" s="4"/>
      <c r="K86" s="2"/>
      <c r="L86" s="2"/>
      <c r="M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" x14ac:dyDescent="0.25">
      <c r="A87" s="1"/>
      <c r="B87" s="17">
        <v>8</v>
      </c>
      <c r="C87" s="16">
        <f>[1]INPUTS!$C$9</f>
        <v>38624.400000000001</v>
      </c>
      <c r="D87" s="18">
        <v>-1405.5095088198429</v>
      </c>
      <c r="E87" s="18">
        <v>1794</v>
      </c>
      <c r="F87" s="16">
        <f>[1]INPUTS!$C$10</f>
        <v>39604.400000000001</v>
      </c>
      <c r="G87" s="18">
        <v>-1545.4601199194676</v>
      </c>
      <c r="H87" s="18">
        <v>1794</v>
      </c>
      <c r="I87" s="1"/>
      <c r="J87" s="4"/>
      <c r="K87" s="2"/>
      <c r="L87" s="2"/>
      <c r="M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" x14ac:dyDescent="0.25">
      <c r="A88" s="1"/>
      <c r="B88" s="17">
        <v>9</v>
      </c>
      <c r="C88" s="16">
        <f>[1]INPUTS!$C$9</f>
        <v>38624.400000000001</v>
      </c>
      <c r="D88" s="16">
        <v>-1542.3298407133054</v>
      </c>
      <c r="E88" s="16">
        <v>1601</v>
      </c>
      <c r="F88" s="16">
        <f>[1]INPUTS!$C$10</f>
        <v>39604.400000000001</v>
      </c>
      <c r="G88" s="16">
        <v>-1677.2332469651772</v>
      </c>
      <c r="H88" s="16">
        <v>1601</v>
      </c>
      <c r="I88" s="1"/>
      <c r="J88" s="4"/>
      <c r="K88" s="2"/>
      <c r="L88" s="2"/>
      <c r="M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" x14ac:dyDescent="0.25">
      <c r="A89" s="1"/>
      <c r="B89" s="17">
        <v>10</v>
      </c>
      <c r="C89" s="16">
        <f>[1]INPUTS!$C$9</f>
        <v>38624.400000000001</v>
      </c>
      <c r="D89" s="16">
        <v>-1663.4998078966328</v>
      </c>
      <c r="E89" s="16">
        <v>1393.8</v>
      </c>
      <c r="F89" s="16">
        <f>[1]INPUTS!$C$10</f>
        <v>39604.400000000001</v>
      </c>
      <c r="G89" s="16">
        <v>-1783.3756085227908</v>
      </c>
      <c r="H89" s="16">
        <v>1393.8</v>
      </c>
      <c r="I89" s="1"/>
      <c r="J89" s="4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" x14ac:dyDescent="0.25">
      <c r="A90" s="1"/>
      <c r="B90" s="17">
        <v>11</v>
      </c>
      <c r="C90" s="16">
        <f>[1]INPUTS!$C$9</f>
        <v>38624.400000000001</v>
      </c>
      <c r="D90" s="16">
        <v>-1763.3606081019454</v>
      </c>
      <c r="E90" s="16">
        <v>1168.5</v>
      </c>
      <c r="F90" s="16">
        <f>[1]INPUTS!$C$10</f>
        <v>39604.400000000001</v>
      </c>
      <c r="G90" s="16">
        <v>-1867.6100410414374</v>
      </c>
      <c r="H90" s="16">
        <v>1168.5</v>
      </c>
      <c r="I90" s="1"/>
      <c r="J90" s="4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 x14ac:dyDescent="0.25">
      <c r="A91" s="1"/>
      <c r="B91" s="17">
        <v>12</v>
      </c>
      <c r="C91" s="16">
        <f>[1]INPUTS!$C$9</f>
        <v>38624.400000000001</v>
      </c>
      <c r="D91" s="16">
        <v>-1849.0770939916511</v>
      </c>
      <c r="E91" s="16">
        <v>934.4</v>
      </c>
      <c r="F91" s="16">
        <f>[1]INPUTS!$C$10</f>
        <v>39604.400000000001</v>
      </c>
      <c r="G91" s="16">
        <v>-1924.8505372233665</v>
      </c>
      <c r="H91" s="16">
        <v>934.4</v>
      </c>
      <c r="I91" s="1"/>
      <c r="J91" s="4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" x14ac:dyDescent="0.25">
      <c r="A92" s="1"/>
      <c r="B92" s="17">
        <v>13</v>
      </c>
      <c r="C92" s="16">
        <f>[1]INPUTS!$C$9</f>
        <v>38624.400000000001</v>
      </c>
      <c r="D92" s="16">
        <v>-1882.490716261269</v>
      </c>
      <c r="E92" s="16">
        <v>695</v>
      </c>
      <c r="F92" s="16">
        <f>[1]INPUTS!$C$10</f>
        <v>39604.400000000001</v>
      </c>
      <c r="G92" s="16">
        <v>-1953.1623565457294</v>
      </c>
      <c r="H92" s="16">
        <v>695</v>
      </c>
      <c r="I92" s="1"/>
      <c r="J92" s="4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" x14ac:dyDescent="0.25">
      <c r="A93" s="1"/>
      <c r="B93" s="17">
        <v>14</v>
      </c>
      <c r="C93" s="16">
        <f>[1]INPUTS!$C$9</f>
        <v>38624.400000000001</v>
      </c>
      <c r="D93" s="16">
        <v>-1902.6645593721219</v>
      </c>
      <c r="E93" s="16">
        <v>450.1</v>
      </c>
      <c r="F93" s="16">
        <f>[1]INPUTS!$C$10</f>
        <v>39604.400000000001</v>
      </c>
      <c r="G93" s="16">
        <v>-1958.4371643232862</v>
      </c>
      <c r="H93" s="16">
        <v>450.1</v>
      </c>
      <c r="I93" s="1"/>
      <c r="J93" s="4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" x14ac:dyDescent="0.25">
      <c r="A94" s="1"/>
      <c r="B94" s="17">
        <v>15</v>
      </c>
      <c r="C94" s="16">
        <f>[1]INPUTS!$C$9</f>
        <v>38624.400000000001</v>
      </c>
      <c r="D94" s="16">
        <v>-1892.8240100031883</v>
      </c>
      <c r="E94" s="16">
        <v>206.5</v>
      </c>
      <c r="F94" s="16">
        <f>[1]INPUTS!$C$10</f>
        <v>39604.400000000001</v>
      </c>
      <c r="G94" s="16">
        <v>-1946.0249707361893</v>
      </c>
      <c r="H94" s="16">
        <v>206.5</v>
      </c>
      <c r="I94" s="1"/>
      <c r="J94" s="4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" x14ac:dyDescent="0.25">
      <c r="A95" s="1"/>
      <c r="B95" s="17">
        <v>16</v>
      </c>
      <c r="C95" s="16">
        <f>[1]INPUTS!$C$9</f>
        <v>38624.400000000001</v>
      </c>
      <c r="D95" s="16">
        <v>-1865.6335907022126</v>
      </c>
      <c r="E95" s="16">
        <v>-9.6999999999999993</v>
      </c>
      <c r="F95" s="16">
        <f>[1]INPUTS!$C$10</f>
        <v>39604.400000000001</v>
      </c>
      <c r="G95" s="16">
        <v>-1902.8254080480172</v>
      </c>
      <c r="H95" s="16">
        <v>-9.6999999999999993</v>
      </c>
      <c r="I95" s="1"/>
      <c r="J95" s="4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" x14ac:dyDescent="0.25">
      <c r="A96" s="1"/>
      <c r="B96" s="17">
        <v>17</v>
      </c>
      <c r="C96" s="16">
        <f>[1]INPUTS!$C$9</f>
        <v>38624.400000000001</v>
      </c>
      <c r="D96" s="16">
        <v>-1796.363112339752</v>
      </c>
      <c r="E96" s="16">
        <v>-248.4</v>
      </c>
      <c r="F96" s="16">
        <f>[1]INPUTS!$C$10</f>
        <v>39604.400000000001</v>
      </c>
      <c r="G96" s="16">
        <v>-1848.9898968697139</v>
      </c>
      <c r="H96" s="16">
        <v>-248.4</v>
      </c>
      <c r="I96" s="1"/>
      <c r="J96" s="4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" x14ac:dyDescent="0.25">
      <c r="A97" s="1"/>
      <c r="B97" s="1"/>
      <c r="C97" s="22"/>
      <c r="D97" s="22"/>
      <c r="E97" s="22"/>
      <c r="F97" s="22"/>
      <c r="G97" s="22"/>
      <c r="H97" s="22"/>
      <c r="I97" s="1"/>
      <c r="J97" s="4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6" x14ac:dyDescent="0.3">
      <c r="A98" s="1"/>
      <c r="B98" s="21" t="s">
        <v>15</v>
      </c>
      <c r="C98" s="22"/>
      <c r="D98" s="22"/>
      <c r="E98" s="22"/>
      <c r="F98" s="22"/>
      <c r="G98" s="22"/>
      <c r="H98" s="22"/>
      <c r="I98" s="1"/>
      <c r="J98" s="4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" x14ac:dyDescent="0.25">
      <c r="A99" s="1"/>
      <c r="B99" s="1"/>
      <c r="C99" s="22"/>
      <c r="D99" s="22"/>
      <c r="E99" s="22"/>
      <c r="F99" s="22"/>
      <c r="G99" s="22"/>
      <c r="H99" s="22"/>
      <c r="I99" s="2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6" x14ac:dyDescent="0.3">
      <c r="A100" s="1"/>
      <c r="B100" s="21"/>
      <c r="C100" s="20" t="s">
        <v>13</v>
      </c>
      <c r="D100" s="13"/>
      <c r="E100" s="12"/>
      <c r="F100" s="20" t="s">
        <v>12</v>
      </c>
      <c r="G100" s="13"/>
      <c r="H100" s="12"/>
      <c r="I100" s="1"/>
      <c r="J100" s="4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6" x14ac:dyDescent="0.3">
      <c r="A101" s="1"/>
      <c r="B101" s="19" t="s">
        <v>11</v>
      </c>
      <c r="C101" s="19" t="s">
        <v>10</v>
      </c>
      <c r="D101" s="19" t="s">
        <v>9</v>
      </c>
      <c r="E101" s="19" t="s">
        <v>8</v>
      </c>
      <c r="F101" s="19" t="s">
        <v>10</v>
      </c>
      <c r="G101" s="19" t="s">
        <v>9</v>
      </c>
      <c r="H101" s="19" t="s">
        <v>8</v>
      </c>
      <c r="I101" s="1"/>
      <c r="J101" s="4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" x14ac:dyDescent="0.25">
      <c r="A102" s="1"/>
      <c r="B102" s="17">
        <v>6</v>
      </c>
      <c r="C102" s="16">
        <f>[1]INPUTS!$C$9</f>
        <v>38624.400000000001</v>
      </c>
      <c r="D102" s="16">
        <v>-1013.2197652711669</v>
      </c>
      <c r="E102" s="16">
        <v>2134.3000000000002</v>
      </c>
      <c r="F102" s="16">
        <f>[1]INPUTS!$C$10</f>
        <v>39604.400000000001</v>
      </c>
      <c r="G102" s="16">
        <v>-1208.5706003783021</v>
      </c>
      <c r="H102" s="16">
        <v>2134.3000000000002</v>
      </c>
      <c r="I102" s="1"/>
      <c r="J102" s="4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" x14ac:dyDescent="0.25">
      <c r="A103" s="1"/>
      <c r="B103" s="17">
        <v>7</v>
      </c>
      <c r="C103" s="16">
        <f>[1]INPUTS!$C$9</f>
        <v>38624.400000000001</v>
      </c>
      <c r="D103" s="16">
        <v>-1229.2449494577281</v>
      </c>
      <c r="E103" s="16">
        <v>1970.2840000000001</v>
      </c>
      <c r="F103" s="16">
        <f>[1]INPUTS!$C$10</f>
        <v>39604.400000000001</v>
      </c>
      <c r="G103" s="16">
        <v>-1400.9580923688288</v>
      </c>
      <c r="H103" s="16">
        <v>1970.2840000000001</v>
      </c>
      <c r="I103" s="1"/>
      <c r="J103" s="4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" x14ac:dyDescent="0.25">
      <c r="A104" s="1"/>
      <c r="B104" s="17">
        <v>8</v>
      </c>
      <c r="C104" s="16">
        <f>[1]INPUTS!$C$9</f>
        <v>38624.400000000001</v>
      </c>
      <c r="D104" s="18">
        <v>-1405.5095088198429</v>
      </c>
      <c r="E104" s="18">
        <v>1794</v>
      </c>
      <c r="F104" s="16">
        <f>[1]INPUTS!$C$10</f>
        <v>39604.400000000001</v>
      </c>
      <c r="G104" s="18">
        <v>-1545.4601199194676</v>
      </c>
      <c r="H104" s="18">
        <v>1794</v>
      </c>
      <c r="I104" s="1"/>
      <c r="J104" s="4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" x14ac:dyDescent="0.25">
      <c r="A105" s="1"/>
      <c r="B105" s="17">
        <v>9</v>
      </c>
      <c r="C105" s="16">
        <f>[1]INPUTS!$C$9</f>
        <v>38624.400000000001</v>
      </c>
      <c r="D105" s="16">
        <v>-1542.3298407133054</v>
      </c>
      <c r="E105" s="16">
        <v>1601</v>
      </c>
      <c r="F105" s="16">
        <f>[1]INPUTS!$C$10</f>
        <v>39604.400000000001</v>
      </c>
      <c r="G105" s="16">
        <v>-1677.2332469651772</v>
      </c>
      <c r="H105" s="16">
        <v>1601</v>
      </c>
      <c r="I105" s="1"/>
      <c r="J105" s="4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" x14ac:dyDescent="0.25">
      <c r="A106" s="1"/>
      <c r="B106" s="17">
        <v>10</v>
      </c>
      <c r="C106" s="16">
        <f>[1]INPUTS!$C$9</f>
        <v>38624.400000000001</v>
      </c>
      <c r="D106" s="16">
        <v>-1663.4998078966328</v>
      </c>
      <c r="E106" s="16">
        <v>1393.8</v>
      </c>
      <c r="F106" s="16">
        <f>[1]INPUTS!$C$10</f>
        <v>39604.400000000001</v>
      </c>
      <c r="G106" s="16">
        <v>-1783.3756085227908</v>
      </c>
      <c r="H106" s="16">
        <v>1393.8</v>
      </c>
      <c r="I106" s="1"/>
      <c r="J106" s="4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" x14ac:dyDescent="0.25">
      <c r="A107" s="1"/>
      <c r="B107" s="17">
        <v>11</v>
      </c>
      <c r="C107" s="16">
        <f>[1]INPUTS!$C$9</f>
        <v>38624.400000000001</v>
      </c>
      <c r="D107" s="16">
        <v>-1763.3606081019454</v>
      </c>
      <c r="E107" s="16">
        <v>1168.5</v>
      </c>
      <c r="F107" s="16">
        <f>[1]INPUTS!$C$10</f>
        <v>39604.400000000001</v>
      </c>
      <c r="G107" s="16">
        <v>-1867.6100410414374</v>
      </c>
      <c r="H107" s="16">
        <v>1168.5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" x14ac:dyDescent="0.25">
      <c r="A108" s="1"/>
      <c r="B108" s="17">
        <v>12</v>
      </c>
      <c r="C108" s="16">
        <f>[1]INPUTS!$C$9</f>
        <v>38624.400000000001</v>
      </c>
      <c r="D108" s="16">
        <v>-1849.0770939916511</v>
      </c>
      <c r="E108" s="16">
        <v>934.4</v>
      </c>
      <c r="F108" s="16">
        <f>[1]INPUTS!$C$10</f>
        <v>39604.400000000001</v>
      </c>
      <c r="G108" s="16">
        <v>-1924.8505372233665</v>
      </c>
      <c r="H108" s="16">
        <v>934.4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" x14ac:dyDescent="0.25">
      <c r="A109" s="1"/>
      <c r="B109" s="17">
        <v>13</v>
      </c>
      <c r="C109" s="16">
        <f>[1]INPUTS!$C$9</f>
        <v>38624.400000000001</v>
      </c>
      <c r="D109" s="16">
        <v>-1882.490716261269</v>
      </c>
      <c r="E109" s="16">
        <v>695</v>
      </c>
      <c r="F109" s="16">
        <f>[1]INPUTS!$C$10</f>
        <v>39604.400000000001</v>
      </c>
      <c r="G109" s="16">
        <v>-1953.1623565457294</v>
      </c>
      <c r="H109" s="16">
        <v>695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" x14ac:dyDescent="0.25">
      <c r="A110" s="1"/>
      <c r="B110" s="17">
        <v>14</v>
      </c>
      <c r="C110" s="16">
        <f>[1]INPUTS!$C$9</f>
        <v>38624.400000000001</v>
      </c>
      <c r="D110" s="16">
        <v>-1902.6645593721219</v>
      </c>
      <c r="E110" s="16">
        <v>450.1</v>
      </c>
      <c r="F110" s="16">
        <f>[1]INPUTS!$C$10</f>
        <v>39604.400000000001</v>
      </c>
      <c r="G110" s="16">
        <v>-1958.4371643232862</v>
      </c>
      <c r="H110" s="16">
        <v>450.1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" x14ac:dyDescent="0.25">
      <c r="A111" s="1"/>
      <c r="B111" s="17">
        <v>15</v>
      </c>
      <c r="C111" s="16">
        <f>[1]INPUTS!$C$9</f>
        <v>38624.400000000001</v>
      </c>
      <c r="D111" s="16">
        <v>-1892.8240100031883</v>
      </c>
      <c r="E111" s="16">
        <v>206.5</v>
      </c>
      <c r="F111" s="16">
        <f>[1]INPUTS!$C$10</f>
        <v>39604.400000000001</v>
      </c>
      <c r="G111" s="16">
        <v>-1946.0249707361893</v>
      </c>
      <c r="H111" s="16">
        <v>206.5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" x14ac:dyDescent="0.25">
      <c r="A112" s="1"/>
      <c r="B112" s="17">
        <v>16</v>
      </c>
      <c r="C112" s="16">
        <f>[1]INPUTS!$C$9</f>
        <v>38624.400000000001</v>
      </c>
      <c r="D112" s="16">
        <v>-1865.6335907022126</v>
      </c>
      <c r="E112" s="16">
        <v>-9.6999999999999993</v>
      </c>
      <c r="F112" s="16">
        <f>[1]INPUTS!$C$10</f>
        <v>39604.400000000001</v>
      </c>
      <c r="G112" s="16">
        <v>-1902.8254080480172</v>
      </c>
      <c r="H112" s="16">
        <v>-9.6999999999999993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" x14ac:dyDescent="0.25">
      <c r="A113" s="1"/>
      <c r="B113" s="17">
        <v>17</v>
      </c>
      <c r="C113" s="16">
        <f>[1]INPUTS!$C$9</f>
        <v>38624.400000000001</v>
      </c>
      <c r="D113" s="16">
        <v>-1796.363112339752</v>
      </c>
      <c r="E113" s="16">
        <v>-248.4</v>
      </c>
      <c r="F113" s="16">
        <f>[1]INPUTS!$C$10</f>
        <v>39604.400000000001</v>
      </c>
      <c r="G113" s="16">
        <v>-1848.9898968697139</v>
      </c>
      <c r="H113" s="16">
        <v>-248.4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6" x14ac:dyDescent="0.3">
      <c r="A115" s="10"/>
      <c r="B115" s="15" t="s">
        <v>14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" x14ac:dyDescent="0.25">
      <c r="A116" s="10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6" x14ac:dyDescent="0.3">
      <c r="A117" s="10"/>
      <c r="B117" s="15"/>
      <c r="C117" s="14" t="s">
        <v>13</v>
      </c>
      <c r="D117" s="13"/>
      <c r="E117" s="12"/>
      <c r="F117" s="14" t="s">
        <v>12</v>
      </c>
      <c r="G117" s="13"/>
      <c r="H117" s="12"/>
      <c r="I117" s="5"/>
      <c r="J117" s="5"/>
      <c r="K117" s="5"/>
      <c r="L117" s="5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6" x14ac:dyDescent="0.3">
      <c r="A118" s="10"/>
      <c r="B118" s="11" t="s">
        <v>11</v>
      </c>
      <c r="C118" s="11" t="s">
        <v>10</v>
      </c>
      <c r="D118" s="11" t="s">
        <v>9</v>
      </c>
      <c r="E118" s="11" t="s">
        <v>8</v>
      </c>
      <c r="F118" s="11" t="s">
        <v>10</v>
      </c>
      <c r="G118" s="11" t="s">
        <v>9</v>
      </c>
      <c r="H118" s="11" t="s">
        <v>8</v>
      </c>
      <c r="I118" s="5"/>
      <c r="J118" s="5"/>
      <c r="K118" s="5"/>
      <c r="L118" s="5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" x14ac:dyDescent="0.25">
      <c r="A119" s="10"/>
      <c r="B119" s="9" t="s">
        <v>7</v>
      </c>
      <c r="C119" s="8">
        <f>[1]INPUTS!C9</f>
        <v>38624.400000000001</v>
      </c>
      <c r="D119" s="8">
        <f>F6</f>
        <v>971.48179193981059</v>
      </c>
      <c r="E119" s="8">
        <f>G6</f>
        <v>1552.1429554975912</v>
      </c>
      <c r="F119" s="8">
        <f>[1]INPUTS!C10</f>
        <v>39604.400000000001</v>
      </c>
      <c r="G119" s="8">
        <f>M6</f>
        <v>928.8413430663303</v>
      </c>
      <c r="H119" s="8">
        <f>N6</f>
        <v>1546.5414106210137</v>
      </c>
      <c r="I119" s="5"/>
      <c r="J119" s="5"/>
      <c r="K119" s="5"/>
      <c r="L119" s="5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" x14ac:dyDescent="0.25">
      <c r="A120" s="10"/>
      <c r="B120" s="9" t="s">
        <v>6</v>
      </c>
      <c r="C120" s="8">
        <f>[1]INPUTS!C9</f>
        <v>38624.400000000001</v>
      </c>
      <c r="D120" s="8">
        <f>D121-60/$J$120*(D121-D119)</f>
        <v>1097.8805525820135</v>
      </c>
      <c r="E120" s="8">
        <f>E121-60/$J$120*(E121-E119)</f>
        <v>1432.9206934602169</v>
      </c>
      <c r="F120" s="8">
        <f>[1]INPUTS!C10</f>
        <v>39604.400000000001</v>
      </c>
      <c r="G120" s="8">
        <f>G121-60/$M$120*(G121-G119)</f>
        <v>1010.238532807185</v>
      </c>
      <c r="H120" s="8">
        <f>H121-60/$M$120*(H121-H119)</f>
        <v>1462.0067961115831</v>
      </c>
      <c r="I120" s="5" t="s">
        <v>3</v>
      </c>
      <c r="J120" s="6">
        <f>SQRT((D121-D119)^2+(E121-E119)^2)</f>
        <v>233.75440845398219</v>
      </c>
      <c r="K120" s="5" t="s">
        <v>1</v>
      </c>
      <c r="L120" s="5" t="s">
        <v>2</v>
      </c>
      <c r="M120" s="6">
        <f>SQRT((G121-G119)^2+(H121-H119)^2)</f>
        <v>177.35247567889982</v>
      </c>
      <c r="N120" s="5" t="s">
        <v>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" x14ac:dyDescent="0.25">
      <c r="A121" s="10"/>
      <c r="B121" s="9" t="s">
        <v>5</v>
      </c>
      <c r="C121" s="8">
        <f>[1]INPUTS!C9</f>
        <v>38624.400000000001</v>
      </c>
      <c r="D121" s="8">
        <f>F7</f>
        <v>1141.5279380268596</v>
      </c>
      <c r="E121" s="8">
        <f>G7</f>
        <v>1391.7514604842547</v>
      </c>
      <c r="F121" s="8">
        <f>[1]INPUTS!C10</f>
        <v>39604.400000000001</v>
      </c>
      <c r="G121" s="8">
        <f>M7</f>
        <v>1051.8553061747486</v>
      </c>
      <c r="H121" s="8">
        <f>N7</f>
        <v>1418.7859195069507</v>
      </c>
      <c r="I121" s="5"/>
      <c r="J121" s="7"/>
      <c r="K121" s="5"/>
      <c r="L121" s="5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" x14ac:dyDescent="0.25">
      <c r="A122" s="10"/>
      <c r="B122" s="9" t="s">
        <v>4</v>
      </c>
      <c r="C122" s="8">
        <f>[1]INPUTS!C9</f>
        <v>38624.400000000001</v>
      </c>
      <c r="D122" s="8">
        <f>D121+60/$J$122*(D123-D121)</f>
        <v>1185.3649339031813</v>
      </c>
      <c r="E122" s="8">
        <f>E121+60/$J$122*(E123-E121)</f>
        <v>1350.7841833897326</v>
      </c>
      <c r="F122" s="8">
        <f>[1]INPUTS!C10</f>
        <v>39604.400000000001</v>
      </c>
      <c r="G122" s="8">
        <f>G121+60/$M$122*(G123-G121)</f>
        <v>1095.4268126337993</v>
      </c>
      <c r="H122" s="8">
        <f>H121+60/$M$122*(H123-H121)</f>
        <v>1377.5363882988399</v>
      </c>
      <c r="I122" s="5" t="s">
        <v>3</v>
      </c>
      <c r="J122" s="6">
        <f>SQRT((D123-D121)^2+(E123-E121)^2)</f>
        <v>73.909470071580145</v>
      </c>
      <c r="K122" s="5" t="s">
        <v>1</v>
      </c>
      <c r="L122" s="5" t="s">
        <v>2</v>
      </c>
      <c r="M122" s="6">
        <f>SQRT((G123-G121)^2+(H123-H121)^2)</f>
        <v>115.66261246298916</v>
      </c>
      <c r="N122" s="5" t="s">
        <v>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" x14ac:dyDescent="0.25">
      <c r="A123" s="10"/>
      <c r="B123" s="9" t="s">
        <v>0</v>
      </c>
      <c r="C123" s="8">
        <f>[1]INPUTS!C9</f>
        <v>38624.400000000001</v>
      </c>
      <c r="D123" s="8">
        <f>F8</f>
        <v>1195.5274236060093</v>
      </c>
      <c r="E123" s="8">
        <f>G8</f>
        <v>1341.2869648120595</v>
      </c>
      <c r="F123" s="8">
        <f>[1]INPUTS!C10</f>
        <v>39604.400000000001</v>
      </c>
      <c r="G123" s="8">
        <f>M8</f>
        <v>1135.8485439414455</v>
      </c>
      <c r="H123" s="8">
        <f>N8</f>
        <v>1339.2687771335559</v>
      </c>
      <c r="I123" s="5"/>
      <c r="J123" s="5"/>
      <c r="K123" s="5"/>
      <c r="L123" s="5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" x14ac:dyDescent="0.25">
      <c r="A124" s="1"/>
      <c r="B124" s="7"/>
      <c r="C124" s="6"/>
      <c r="D124" s="6"/>
      <c r="E124" s="6"/>
      <c r="F124" s="6"/>
      <c r="G124" s="6"/>
      <c r="H124" s="6"/>
      <c r="I124" s="5"/>
      <c r="J124" s="5"/>
      <c r="K124" s="5"/>
      <c r="L124" s="5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" x14ac:dyDescent="0.25">
      <c r="A125" s="1"/>
      <c r="B125" s="4"/>
      <c r="C125" s="3"/>
      <c r="D125" s="3"/>
      <c r="E125" s="3"/>
      <c r="F125" s="3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" x14ac:dyDescent="0.25">
      <c r="A126" s="1"/>
      <c r="B126" s="4"/>
      <c r="C126" s="3"/>
      <c r="D126" s="3"/>
      <c r="E126" s="3"/>
      <c r="F126" s="3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</sheetData>
  <mergeCells count="6">
    <mergeCell ref="C83:E83"/>
    <mergeCell ref="F83:H83"/>
    <mergeCell ref="C100:E100"/>
    <mergeCell ref="F100:H100"/>
    <mergeCell ref="C117:E117"/>
    <mergeCell ref="F117:H1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GEOMETRY_PROCESSING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2026-03-17T15:53:49Z</dcterms:created>
  <dcterms:modified xsi:type="dcterms:W3CDTF">2026-03-17T15:58:16Z</dcterms:modified>
</cp:coreProperties>
</file>