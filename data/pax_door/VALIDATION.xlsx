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ython\weight tool\data\pax_door\"/>
    </mc:Choice>
  </mc:AlternateContent>
  <xr:revisionPtr revIDLastSave="0" documentId="13_ncr:1_{B248678C-21FF-43C7-BE8D-616826F0A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</calcChain>
</file>

<file path=xl/sharedStrings.xml><?xml version="1.0" encoding="utf-8"?>
<sst xmlns="http://schemas.openxmlformats.org/spreadsheetml/2006/main" count="23" uniqueCount="22">
  <si>
    <t>PAX DOOR STRUCTURE — PROBOT VALIDATION SHEET</t>
  </si>
  <si>
    <t>Mass &amp; Centre of Gravity — Computed from FQD Primitives</t>
  </si>
  <si>
    <t>NOTE: No CATIA reference available for this structure. PROBOT values are computed directly from FQD primitive geometry (volume × density).</t>
  </si>
  <si>
    <t>Component</t>
  </si>
  <si>
    <t>Primitives</t>
  </si>
  <si>
    <t>Mass (g)</t>
  </si>
  <si>
    <t>Mass (kg)</t>
  </si>
  <si>
    <t>CoG X (mm)</t>
  </si>
  <si>
    <t>CoG Y (mm)</t>
  </si>
  <si>
    <t>CoG Z (mm)</t>
  </si>
  <si>
    <t>DOOR_FRAMES</t>
  </si>
  <si>
    <t>DOOR_INTERCOSTALS</t>
  </si>
  <si>
    <t>DOOR_LINTEL</t>
  </si>
  <si>
    <t>DOOR_SILL</t>
  </si>
  <si>
    <t>COMBINED TOTAL</t>
  </si>
  <si>
    <t>Comparison (PROBOT output vs. this reference):</t>
  </si>
  <si>
    <t>% Diff</t>
  </si>
  <si>
    <t>X CoG (mm)</t>
  </si>
  <si>
    <t>Y CoG (mm)</t>
  </si>
  <si>
    <t>Z CoG (mm)</t>
  </si>
  <si>
    <t>Catia</t>
  </si>
  <si>
    <t xml:space="preserve">PROBOT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</si>
</sst>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color rgb="FF7F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8"/>
  <sheetViews>
    <sheetView tabSelected="1" workbookViewId="0">
      <selection activeCell="J11" sqref="J11"/>
    </sheetView>
  </sheetViews>
  <sheetFormatPr defaultRowHeight="14.4" x14ac:dyDescent="0.3"/>
  <cols>
    <col min="2" max="2" width="30" customWidth="1"/>
    <col min="3" max="8" width="14" customWidth="1"/>
  </cols>
  <sheetData>
    <row r="1" spans="2:8" ht="17.399999999999999" x14ac:dyDescent="0.3">
      <c r="B1" s="11" t="s">
        <v>0</v>
      </c>
      <c r="C1" s="8"/>
      <c r="D1" s="8"/>
      <c r="E1" s="8"/>
      <c r="F1" s="8"/>
      <c r="G1" s="8"/>
      <c r="H1" s="8"/>
    </row>
    <row r="2" spans="2:8" x14ac:dyDescent="0.3">
      <c r="B2" s="9" t="s">
        <v>1</v>
      </c>
      <c r="C2" s="8"/>
      <c r="D2" s="8"/>
      <c r="E2" s="8"/>
      <c r="F2" s="8"/>
      <c r="G2" s="8"/>
      <c r="H2" s="8"/>
    </row>
    <row r="4" spans="2:8" ht="28.05" customHeight="1" x14ac:dyDescent="0.3">
      <c r="B4" s="10" t="s">
        <v>2</v>
      </c>
      <c r="C4" s="8"/>
      <c r="D4" s="8"/>
      <c r="E4" s="8"/>
      <c r="F4" s="8"/>
      <c r="G4" s="8"/>
      <c r="H4" s="8"/>
    </row>
    <row r="6" spans="2:8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2:8" x14ac:dyDescent="0.3">
      <c r="B7" s="2" t="s">
        <v>10</v>
      </c>
      <c r="C7" s="3">
        <v>102</v>
      </c>
      <c r="D7" s="3">
        <v>17050.762999999999</v>
      </c>
      <c r="E7" s="3">
        <v>17.050799999999999</v>
      </c>
      <c r="F7" s="3">
        <v>39109.25</v>
      </c>
      <c r="G7" s="3">
        <v>1493.55</v>
      </c>
      <c r="H7" s="3">
        <v>555.67999999999995</v>
      </c>
    </row>
    <row r="8" spans="2:8" x14ac:dyDescent="0.3">
      <c r="B8" s="4" t="s">
        <v>11</v>
      </c>
      <c r="C8" s="5">
        <v>36</v>
      </c>
      <c r="D8" s="5">
        <v>9223.4819000000007</v>
      </c>
      <c r="E8" s="5">
        <v>9.2234999999999996</v>
      </c>
      <c r="F8" s="5">
        <v>38878.17</v>
      </c>
      <c r="G8" s="5">
        <v>1507.79</v>
      </c>
      <c r="H8" s="5">
        <v>535.76</v>
      </c>
    </row>
    <row r="9" spans="2:8" x14ac:dyDescent="0.3">
      <c r="B9" s="2" t="s">
        <v>12</v>
      </c>
      <c r="C9" s="3">
        <v>7</v>
      </c>
      <c r="D9" s="3">
        <v>3796.0808999999999</v>
      </c>
      <c r="E9" s="3">
        <v>3.7961</v>
      </c>
      <c r="F9" s="3">
        <v>39113.550000000003</v>
      </c>
      <c r="G9" s="3">
        <v>1097.1099999999999</v>
      </c>
      <c r="H9" s="3">
        <v>1473.54</v>
      </c>
    </row>
    <row r="10" spans="2:8" x14ac:dyDescent="0.3">
      <c r="B10" s="4" t="s">
        <v>13</v>
      </c>
      <c r="C10" s="5">
        <v>8</v>
      </c>
      <c r="D10" s="5">
        <v>3614.5154000000002</v>
      </c>
      <c r="E10" s="5">
        <v>3.6145</v>
      </c>
      <c r="F10" s="5">
        <v>39114.49</v>
      </c>
      <c r="G10" s="5">
        <v>1430.09</v>
      </c>
      <c r="H10" s="5">
        <v>-561.04999999999995</v>
      </c>
    </row>
    <row r="11" spans="2:8" x14ac:dyDescent="0.3">
      <c r="B11" s="6" t="s">
        <v>14</v>
      </c>
      <c r="C11" s="6">
        <v>153</v>
      </c>
      <c r="D11" s="6">
        <v>33684.841200000003</v>
      </c>
      <c r="E11" s="6">
        <v>33.684800000000003</v>
      </c>
      <c r="F11" s="6">
        <v>39047.019999999997</v>
      </c>
      <c r="G11" s="6">
        <v>1445.96</v>
      </c>
      <c r="H11" s="6">
        <v>533.83000000000004</v>
      </c>
    </row>
    <row r="13" spans="2:8" x14ac:dyDescent="0.3">
      <c r="B13" s="7" t="s">
        <v>15</v>
      </c>
      <c r="C13" s="8"/>
      <c r="D13" s="8"/>
      <c r="E13" s="8"/>
      <c r="F13" s="8"/>
      <c r="G13" s="8"/>
      <c r="H13" s="8"/>
    </row>
    <row r="14" spans="2:8" x14ac:dyDescent="0.3">
      <c r="B14" s="12"/>
      <c r="C14" s="1" t="s">
        <v>20</v>
      </c>
      <c r="D14" s="1" t="s">
        <v>21</v>
      </c>
      <c r="E14" s="1" t="s">
        <v>16</v>
      </c>
    </row>
    <row r="15" spans="2:8" x14ac:dyDescent="0.3">
      <c r="B15" s="4" t="s">
        <v>6</v>
      </c>
      <c r="C15" s="5">
        <v>33.684800000000003</v>
      </c>
      <c r="D15" s="5">
        <v>33.684800000000003</v>
      </c>
      <c r="E15" s="5">
        <f>IF(C15=0,"",ROUND((D15-C15)/C15*100,1))</f>
        <v>0</v>
      </c>
    </row>
    <row r="16" spans="2:8" x14ac:dyDescent="0.3">
      <c r="B16" s="2" t="s">
        <v>17</v>
      </c>
      <c r="C16" s="3">
        <v>39047.019999999997</v>
      </c>
      <c r="D16" s="3">
        <v>39047.019999999997</v>
      </c>
      <c r="E16" s="3">
        <f>IF(C16=0,"",ROUND((D16-C16)/C16*100,1))</f>
        <v>0</v>
      </c>
    </row>
    <row r="17" spans="2:5" x14ac:dyDescent="0.3">
      <c r="B17" s="4" t="s">
        <v>18</v>
      </c>
      <c r="C17" s="5">
        <v>1445.96</v>
      </c>
      <c r="D17" s="5">
        <v>1445.96</v>
      </c>
      <c r="E17" s="5">
        <f>IF(C17=0,"",ROUND((D17-C17)/C17*100,1))</f>
        <v>0</v>
      </c>
    </row>
    <row r="18" spans="2:5" x14ac:dyDescent="0.3">
      <c r="B18" s="2" t="s">
        <v>19</v>
      </c>
      <c r="C18" s="3">
        <v>533.83000000000004</v>
      </c>
      <c r="D18" s="3">
        <v>533.83000000000004</v>
      </c>
      <c r="E18" s="3">
        <f>IF(C18=0,"",ROUND((D18-C18)/C18*100,1))</f>
        <v>0</v>
      </c>
    </row>
  </sheetData>
  <mergeCells count="4">
    <mergeCell ref="B13:H13"/>
    <mergeCell ref="B2:H2"/>
    <mergeCell ref="B4:H4"/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verma</cp:lastModifiedBy>
  <dcterms:created xsi:type="dcterms:W3CDTF">2026-03-17T16:15:01Z</dcterms:created>
  <dcterms:modified xsi:type="dcterms:W3CDTF">2026-03-17T18:52:35Z</dcterms:modified>
</cp:coreProperties>
</file>