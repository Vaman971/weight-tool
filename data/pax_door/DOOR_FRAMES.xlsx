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OMEN\Aman Dropbox\Aman verma\My PC (LAPTOP-UK6RT4E8)\Downloads\"/>
    </mc:Choice>
  </mc:AlternateContent>
  <xr:revisionPtr revIDLastSave="0" documentId="8_{C071F25D-42C6-4606-835C-4C7E5C578254}" xr6:coauthVersionLast="47" xr6:coauthVersionMax="47" xr10:uidLastSave="{00000000-0000-0000-0000-000000000000}"/>
  <bookViews>
    <workbookView xWindow="-108" yWindow="-108" windowWidth="23256" windowHeight="12456" xr2:uid="{BFC40DE3-965B-4D89-AA7A-A777CD90C494}"/>
  </bookViews>
  <sheets>
    <sheet name="DOOR_FRAMES" sheetId="1" r:id="rId1"/>
  </sheets>
  <externalReferences>
    <externalReference r:id="rId2"/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1" l="1"/>
  <c r="E4" i="1"/>
  <c r="F4" i="1"/>
  <c r="G4" i="1"/>
  <c r="H4" i="1"/>
  <c r="I4" i="1"/>
  <c r="J4" i="1"/>
  <c r="K4" i="1"/>
  <c r="L4" i="1"/>
  <c r="M4" i="1"/>
  <c r="N4" i="1"/>
  <c r="O4" i="1"/>
  <c r="Q4" i="1"/>
  <c r="S4" i="1"/>
  <c r="C4" i="1" s="1"/>
  <c r="D5" i="1"/>
  <c r="E5" i="1"/>
  <c r="F5" i="1"/>
  <c r="G5" i="1"/>
  <c r="H5" i="1"/>
  <c r="I5" i="1"/>
  <c r="J5" i="1"/>
  <c r="K5" i="1"/>
  <c r="L5" i="1"/>
  <c r="M5" i="1"/>
  <c r="N5" i="1"/>
  <c r="O5" i="1"/>
  <c r="Q5" i="1"/>
  <c r="S5" i="1"/>
  <c r="C5" i="1" s="1"/>
  <c r="D6" i="1"/>
  <c r="E6" i="1"/>
  <c r="F6" i="1"/>
  <c r="G6" i="1"/>
  <c r="H6" i="1"/>
  <c r="I6" i="1"/>
  <c r="J6" i="1"/>
  <c r="K6" i="1"/>
  <c r="L6" i="1"/>
  <c r="M6" i="1"/>
  <c r="N6" i="1"/>
  <c r="O6" i="1"/>
  <c r="Q6" i="1"/>
  <c r="S6" i="1"/>
  <c r="C6" i="1" s="1"/>
  <c r="D7" i="1"/>
  <c r="E7" i="1"/>
  <c r="F7" i="1"/>
  <c r="G7" i="1"/>
  <c r="H7" i="1"/>
  <c r="I7" i="1"/>
  <c r="J7" i="1"/>
  <c r="K7" i="1"/>
  <c r="L7" i="1"/>
  <c r="M7" i="1"/>
  <c r="N7" i="1"/>
  <c r="O7" i="1"/>
  <c r="Q7" i="1"/>
  <c r="S7" i="1"/>
  <c r="C7" i="1" s="1"/>
  <c r="D8" i="1"/>
  <c r="E8" i="1"/>
  <c r="F8" i="1"/>
  <c r="G8" i="1"/>
  <c r="H8" i="1"/>
  <c r="I8" i="1"/>
  <c r="J8" i="1"/>
  <c r="K8" i="1"/>
  <c r="L8" i="1"/>
  <c r="M8" i="1"/>
  <c r="N8" i="1"/>
  <c r="O8" i="1"/>
  <c r="Q8" i="1"/>
  <c r="S8" i="1"/>
  <c r="C8" i="1" s="1"/>
  <c r="D9" i="1"/>
  <c r="E9" i="1"/>
  <c r="F9" i="1"/>
  <c r="G9" i="1"/>
  <c r="H9" i="1"/>
  <c r="I9" i="1"/>
  <c r="J9" i="1"/>
  <c r="K9" i="1"/>
  <c r="L9" i="1"/>
  <c r="M9" i="1"/>
  <c r="N9" i="1"/>
  <c r="O9" i="1"/>
  <c r="Q9" i="1"/>
  <c r="S9" i="1"/>
  <c r="C9" i="1" s="1"/>
  <c r="D10" i="1"/>
  <c r="E10" i="1"/>
  <c r="F10" i="1"/>
  <c r="G10" i="1"/>
  <c r="H10" i="1"/>
  <c r="I10" i="1"/>
  <c r="J10" i="1"/>
  <c r="K10" i="1"/>
  <c r="L10" i="1"/>
  <c r="M10" i="1"/>
  <c r="N10" i="1"/>
  <c r="O10" i="1"/>
  <c r="Q10" i="1"/>
  <c r="S10" i="1"/>
  <c r="C10" i="1" s="1"/>
  <c r="D11" i="1"/>
  <c r="E11" i="1"/>
  <c r="F11" i="1"/>
  <c r="G11" i="1"/>
  <c r="H11" i="1"/>
  <c r="I11" i="1"/>
  <c r="J11" i="1"/>
  <c r="K11" i="1"/>
  <c r="L11" i="1"/>
  <c r="M11" i="1"/>
  <c r="N11" i="1"/>
  <c r="O11" i="1"/>
  <c r="Q11" i="1"/>
  <c r="S11" i="1"/>
  <c r="C11" i="1" s="1"/>
  <c r="D12" i="1"/>
  <c r="E12" i="1"/>
  <c r="F12" i="1"/>
  <c r="G12" i="1"/>
  <c r="H12" i="1"/>
  <c r="I12" i="1"/>
  <c r="J12" i="1"/>
  <c r="K12" i="1"/>
  <c r="L12" i="1"/>
  <c r="M12" i="1"/>
  <c r="N12" i="1"/>
  <c r="O12" i="1"/>
  <c r="Q12" i="1"/>
  <c r="S12" i="1"/>
  <c r="C12" i="1" s="1"/>
  <c r="D13" i="1"/>
  <c r="E13" i="1"/>
  <c r="F13" i="1"/>
  <c r="G13" i="1"/>
  <c r="H13" i="1"/>
  <c r="I13" i="1"/>
  <c r="J13" i="1"/>
  <c r="K13" i="1"/>
  <c r="L13" i="1"/>
  <c r="M13" i="1"/>
  <c r="N13" i="1"/>
  <c r="O13" i="1"/>
  <c r="Q13" i="1"/>
  <c r="S13" i="1"/>
  <c r="C13" i="1" s="1"/>
  <c r="D14" i="1"/>
  <c r="E14" i="1"/>
  <c r="F14" i="1"/>
  <c r="G14" i="1"/>
  <c r="H14" i="1"/>
  <c r="I14" i="1"/>
  <c r="J14" i="1"/>
  <c r="K14" i="1"/>
  <c r="L14" i="1"/>
  <c r="M14" i="1"/>
  <c r="N14" i="1"/>
  <c r="O14" i="1"/>
  <c r="Q14" i="1"/>
  <c r="S14" i="1"/>
  <c r="C14" i="1" s="1"/>
  <c r="D15" i="1"/>
  <c r="E15" i="1"/>
  <c r="F15" i="1"/>
  <c r="G15" i="1"/>
  <c r="H15" i="1"/>
  <c r="I15" i="1"/>
  <c r="J15" i="1"/>
  <c r="K15" i="1"/>
  <c r="L15" i="1"/>
  <c r="M15" i="1"/>
  <c r="N15" i="1"/>
  <c r="O15" i="1"/>
  <c r="Q15" i="1"/>
  <c r="S15" i="1"/>
  <c r="C15" i="1" s="1"/>
  <c r="D16" i="1"/>
  <c r="E16" i="1"/>
  <c r="F16" i="1"/>
  <c r="G16" i="1"/>
  <c r="H16" i="1"/>
  <c r="I16" i="1"/>
  <c r="J16" i="1"/>
  <c r="K16" i="1"/>
  <c r="L16" i="1"/>
  <c r="M16" i="1"/>
  <c r="N16" i="1"/>
  <c r="O16" i="1"/>
  <c r="Q16" i="1"/>
  <c r="S16" i="1"/>
  <c r="C16" i="1" s="1"/>
  <c r="D17" i="1"/>
  <c r="E17" i="1"/>
  <c r="F17" i="1"/>
  <c r="G17" i="1"/>
  <c r="H17" i="1"/>
  <c r="I17" i="1"/>
  <c r="J17" i="1"/>
  <c r="K17" i="1"/>
  <c r="L17" i="1"/>
  <c r="M17" i="1"/>
  <c r="N17" i="1"/>
  <c r="O17" i="1"/>
  <c r="Q17" i="1"/>
  <c r="S17" i="1"/>
  <c r="C17" i="1" s="1"/>
  <c r="D18" i="1"/>
  <c r="E18" i="1"/>
  <c r="F18" i="1"/>
  <c r="G18" i="1"/>
  <c r="H18" i="1"/>
  <c r="I18" i="1"/>
  <c r="J18" i="1"/>
  <c r="K18" i="1"/>
  <c r="L18" i="1"/>
  <c r="M18" i="1"/>
  <c r="N18" i="1"/>
  <c r="O18" i="1"/>
  <c r="Q18" i="1"/>
  <c r="S18" i="1"/>
  <c r="C18" i="1" s="1"/>
  <c r="D19" i="1"/>
  <c r="E19" i="1"/>
  <c r="F19" i="1"/>
  <c r="G19" i="1"/>
  <c r="H19" i="1"/>
  <c r="I19" i="1"/>
  <c r="J19" i="1"/>
  <c r="K19" i="1"/>
  <c r="L19" i="1"/>
  <c r="M19" i="1"/>
  <c r="N19" i="1"/>
  <c r="O19" i="1"/>
  <c r="Q19" i="1"/>
  <c r="S19" i="1"/>
  <c r="C19" i="1" s="1"/>
  <c r="D20" i="1"/>
  <c r="E20" i="1"/>
  <c r="F20" i="1"/>
  <c r="G20" i="1"/>
  <c r="H20" i="1"/>
  <c r="I20" i="1"/>
  <c r="J20" i="1"/>
  <c r="K20" i="1"/>
  <c r="L20" i="1"/>
  <c r="M20" i="1"/>
  <c r="N20" i="1"/>
  <c r="O20" i="1"/>
  <c r="Q20" i="1"/>
  <c r="S20" i="1"/>
  <c r="C20" i="1" s="1"/>
  <c r="D21" i="1"/>
  <c r="E21" i="1"/>
  <c r="F21" i="1"/>
  <c r="G21" i="1"/>
  <c r="H21" i="1"/>
  <c r="I21" i="1"/>
  <c r="J21" i="1"/>
  <c r="K21" i="1"/>
  <c r="L21" i="1"/>
  <c r="M21" i="1"/>
  <c r="N21" i="1"/>
  <c r="O21" i="1"/>
  <c r="Q21" i="1"/>
  <c r="S21" i="1"/>
  <c r="C21" i="1" s="1"/>
  <c r="D22" i="1"/>
  <c r="E22" i="1"/>
  <c r="F22" i="1"/>
  <c r="G22" i="1"/>
  <c r="H22" i="1"/>
  <c r="I22" i="1"/>
  <c r="J22" i="1"/>
  <c r="K22" i="1"/>
  <c r="L22" i="1"/>
  <c r="M22" i="1"/>
  <c r="N22" i="1"/>
  <c r="O22" i="1"/>
  <c r="Q22" i="1"/>
  <c r="S22" i="1"/>
  <c r="C22" i="1" s="1"/>
  <c r="D23" i="1"/>
  <c r="E23" i="1"/>
  <c r="F23" i="1"/>
  <c r="G23" i="1"/>
  <c r="H23" i="1"/>
  <c r="I23" i="1"/>
  <c r="J23" i="1"/>
  <c r="K23" i="1"/>
  <c r="L23" i="1"/>
  <c r="M23" i="1"/>
  <c r="N23" i="1"/>
  <c r="O23" i="1"/>
  <c r="Q23" i="1"/>
  <c r="S23" i="1"/>
  <c r="C23" i="1" s="1"/>
  <c r="D24" i="1"/>
  <c r="E24" i="1"/>
  <c r="F24" i="1"/>
  <c r="G24" i="1"/>
  <c r="H24" i="1"/>
  <c r="I24" i="1"/>
  <c r="J24" i="1"/>
  <c r="K24" i="1"/>
  <c r="L24" i="1"/>
  <c r="M24" i="1"/>
  <c r="N24" i="1"/>
  <c r="O24" i="1"/>
  <c r="Q24" i="1"/>
  <c r="S24" i="1"/>
  <c r="C24" i="1" s="1"/>
  <c r="D25" i="1"/>
  <c r="E25" i="1"/>
  <c r="F25" i="1"/>
  <c r="G25" i="1"/>
  <c r="H25" i="1"/>
  <c r="I25" i="1"/>
  <c r="J25" i="1"/>
  <c r="K25" i="1"/>
  <c r="L25" i="1"/>
  <c r="M25" i="1"/>
  <c r="N25" i="1"/>
  <c r="O25" i="1"/>
  <c r="Q25" i="1"/>
  <c r="S25" i="1"/>
  <c r="C25" i="1" s="1"/>
  <c r="D26" i="1"/>
  <c r="E26" i="1"/>
  <c r="F26" i="1"/>
  <c r="G26" i="1"/>
  <c r="H26" i="1"/>
  <c r="I26" i="1"/>
  <c r="J26" i="1"/>
  <c r="K26" i="1"/>
  <c r="L26" i="1"/>
  <c r="M26" i="1"/>
  <c r="N26" i="1"/>
  <c r="O26" i="1"/>
  <c r="Q26" i="1"/>
  <c r="S26" i="1"/>
  <c r="C26" i="1" s="1"/>
  <c r="D27" i="1"/>
  <c r="E27" i="1"/>
  <c r="F27" i="1"/>
  <c r="G27" i="1"/>
  <c r="H27" i="1"/>
  <c r="I27" i="1"/>
  <c r="J27" i="1"/>
  <c r="K27" i="1"/>
  <c r="L27" i="1"/>
  <c r="M27" i="1"/>
  <c r="N27" i="1"/>
  <c r="O27" i="1"/>
  <c r="Q27" i="1"/>
  <c r="S27" i="1"/>
  <c r="C27" i="1" s="1"/>
  <c r="D28" i="1"/>
  <c r="E28" i="1"/>
  <c r="F28" i="1"/>
  <c r="G28" i="1"/>
  <c r="H28" i="1"/>
  <c r="I28" i="1"/>
  <c r="J28" i="1"/>
  <c r="K28" i="1"/>
  <c r="L28" i="1"/>
  <c r="M28" i="1"/>
  <c r="N28" i="1"/>
  <c r="O28" i="1"/>
  <c r="Q28" i="1"/>
  <c r="S28" i="1"/>
  <c r="C28" i="1" s="1"/>
  <c r="D29" i="1"/>
  <c r="E29" i="1"/>
  <c r="F29" i="1"/>
  <c r="G29" i="1"/>
  <c r="H29" i="1"/>
  <c r="I29" i="1"/>
  <c r="J29" i="1"/>
  <c r="K29" i="1"/>
  <c r="L29" i="1"/>
  <c r="M29" i="1"/>
  <c r="N29" i="1"/>
  <c r="O29" i="1"/>
  <c r="Q29" i="1"/>
  <c r="S29" i="1"/>
  <c r="C29" i="1" s="1"/>
  <c r="D30" i="1"/>
  <c r="E30" i="1"/>
  <c r="F30" i="1"/>
  <c r="G30" i="1"/>
  <c r="H30" i="1"/>
  <c r="I30" i="1"/>
  <c r="J30" i="1"/>
  <c r="K30" i="1"/>
  <c r="L30" i="1"/>
  <c r="M30" i="1"/>
  <c r="N30" i="1"/>
  <c r="O30" i="1"/>
  <c r="Q30" i="1"/>
  <c r="S30" i="1"/>
  <c r="C30" i="1" s="1"/>
  <c r="D31" i="1"/>
  <c r="E31" i="1"/>
  <c r="F31" i="1"/>
  <c r="G31" i="1"/>
  <c r="H31" i="1"/>
  <c r="I31" i="1"/>
  <c r="J31" i="1"/>
  <c r="K31" i="1"/>
  <c r="L31" i="1"/>
  <c r="M31" i="1"/>
  <c r="N31" i="1"/>
  <c r="O31" i="1"/>
  <c r="Q31" i="1"/>
  <c r="S31" i="1"/>
  <c r="C31" i="1" s="1"/>
  <c r="D32" i="1"/>
  <c r="E32" i="1"/>
  <c r="F32" i="1"/>
  <c r="G32" i="1"/>
  <c r="H32" i="1"/>
  <c r="I32" i="1"/>
  <c r="J32" i="1"/>
  <c r="K32" i="1"/>
  <c r="L32" i="1"/>
  <c r="M32" i="1"/>
  <c r="N32" i="1"/>
  <c r="O32" i="1"/>
  <c r="Q32" i="1"/>
  <c r="S32" i="1"/>
  <c r="C32" i="1" s="1"/>
  <c r="D33" i="1"/>
  <c r="E33" i="1"/>
  <c r="F33" i="1"/>
  <c r="G33" i="1"/>
  <c r="H33" i="1"/>
  <c r="I33" i="1"/>
  <c r="J33" i="1"/>
  <c r="K33" i="1"/>
  <c r="L33" i="1"/>
  <c r="M33" i="1"/>
  <c r="N33" i="1"/>
  <c r="O33" i="1"/>
  <c r="Q33" i="1"/>
  <c r="S33" i="1"/>
  <c r="C33" i="1" s="1"/>
  <c r="D34" i="1"/>
  <c r="E34" i="1"/>
  <c r="F34" i="1"/>
  <c r="G34" i="1"/>
  <c r="H34" i="1"/>
  <c r="I34" i="1"/>
  <c r="J34" i="1"/>
  <c r="K34" i="1"/>
  <c r="L34" i="1"/>
  <c r="M34" i="1"/>
  <c r="N34" i="1"/>
  <c r="O34" i="1"/>
  <c r="Q34" i="1"/>
  <c r="S34" i="1"/>
  <c r="C34" i="1" s="1"/>
  <c r="D35" i="1"/>
  <c r="E35" i="1"/>
  <c r="F35" i="1"/>
  <c r="G35" i="1"/>
  <c r="H35" i="1"/>
  <c r="I35" i="1"/>
  <c r="J35" i="1"/>
  <c r="K35" i="1"/>
  <c r="L35" i="1"/>
  <c r="M35" i="1"/>
  <c r="N35" i="1"/>
  <c r="O35" i="1"/>
  <c r="Q35" i="1"/>
  <c r="S35" i="1"/>
  <c r="C35" i="1" s="1"/>
  <c r="D36" i="1"/>
  <c r="E36" i="1"/>
  <c r="F36" i="1"/>
  <c r="G36" i="1"/>
  <c r="H36" i="1"/>
  <c r="I36" i="1"/>
  <c r="J36" i="1"/>
  <c r="K36" i="1"/>
  <c r="L36" i="1"/>
  <c r="M36" i="1"/>
  <c r="N36" i="1"/>
  <c r="O36" i="1"/>
  <c r="Q36" i="1"/>
  <c r="S36" i="1"/>
  <c r="C36" i="1" s="1"/>
  <c r="D37" i="1"/>
  <c r="E37" i="1"/>
  <c r="F37" i="1"/>
  <c r="G37" i="1"/>
  <c r="H37" i="1"/>
  <c r="I37" i="1"/>
  <c r="J37" i="1"/>
  <c r="K37" i="1"/>
  <c r="L37" i="1"/>
  <c r="M37" i="1"/>
  <c r="N37" i="1"/>
  <c r="O37" i="1"/>
  <c r="Q37" i="1"/>
  <c r="S37" i="1"/>
  <c r="C37" i="1" s="1"/>
  <c r="D38" i="1"/>
  <c r="E38" i="1"/>
  <c r="F38" i="1"/>
  <c r="G38" i="1"/>
  <c r="H38" i="1"/>
  <c r="I38" i="1"/>
  <c r="J38" i="1"/>
  <c r="K38" i="1"/>
  <c r="L38" i="1"/>
  <c r="M38" i="1"/>
  <c r="N38" i="1"/>
  <c r="O38" i="1"/>
  <c r="Q38" i="1"/>
  <c r="S38" i="1"/>
  <c r="C38" i="1" s="1"/>
  <c r="D39" i="1"/>
  <c r="E39" i="1"/>
  <c r="F39" i="1"/>
  <c r="G39" i="1"/>
  <c r="H39" i="1"/>
  <c r="I39" i="1"/>
  <c r="J39" i="1"/>
  <c r="K39" i="1"/>
  <c r="L39" i="1"/>
  <c r="M39" i="1"/>
  <c r="N39" i="1"/>
  <c r="O39" i="1"/>
  <c r="Q39" i="1"/>
  <c r="S39" i="1"/>
  <c r="C39" i="1" s="1"/>
  <c r="D40" i="1"/>
  <c r="E40" i="1"/>
  <c r="F40" i="1"/>
  <c r="G40" i="1"/>
  <c r="H40" i="1"/>
  <c r="I40" i="1"/>
  <c r="J40" i="1"/>
  <c r="K40" i="1"/>
  <c r="L40" i="1"/>
  <c r="M40" i="1"/>
  <c r="N40" i="1"/>
  <c r="O40" i="1"/>
  <c r="Q40" i="1"/>
  <c r="S40" i="1"/>
  <c r="C40" i="1" s="1"/>
  <c r="D41" i="1"/>
  <c r="E41" i="1"/>
  <c r="F41" i="1"/>
  <c r="G41" i="1"/>
  <c r="H41" i="1"/>
  <c r="I41" i="1"/>
  <c r="J41" i="1"/>
  <c r="K41" i="1"/>
  <c r="L41" i="1"/>
  <c r="M41" i="1"/>
  <c r="N41" i="1"/>
  <c r="O41" i="1"/>
  <c r="Q41" i="1"/>
  <c r="S41" i="1"/>
  <c r="C41" i="1" s="1"/>
  <c r="D42" i="1"/>
  <c r="E42" i="1"/>
  <c r="F42" i="1"/>
  <c r="G42" i="1"/>
  <c r="H42" i="1"/>
  <c r="I42" i="1"/>
  <c r="J42" i="1"/>
  <c r="K42" i="1"/>
  <c r="L42" i="1"/>
  <c r="M42" i="1"/>
  <c r="N42" i="1"/>
  <c r="O42" i="1"/>
  <c r="Q42" i="1"/>
  <c r="S42" i="1"/>
  <c r="C42" i="1" s="1"/>
  <c r="D43" i="1"/>
  <c r="E43" i="1"/>
  <c r="F43" i="1"/>
  <c r="G43" i="1"/>
  <c r="H43" i="1"/>
  <c r="I43" i="1"/>
  <c r="J43" i="1"/>
  <c r="K43" i="1"/>
  <c r="L43" i="1"/>
  <c r="M43" i="1"/>
  <c r="N43" i="1"/>
  <c r="O43" i="1"/>
  <c r="Q43" i="1"/>
  <c r="S43" i="1"/>
  <c r="C43" i="1" s="1"/>
  <c r="D44" i="1"/>
  <c r="E44" i="1"/>
  <c r="F44" i="1"/>
  <c r="G44" i="1"/>
  <c r="H44" i="1"/>
  <c r="I44" i="1"/>
  <c r="J44" i="1"/>
  <c r="K44" i="1"/>
  <c r="L44" i="1"/>
  <c r="M44" i="1"/>
  <c r="N44" i="1"/>
  <c r="O44" i="1"/>
  <c r="Q44" i="1"/>
  <c r="S44" i="1"/>
  <c r="C44" i="1" s="1"/>
  <c r="D45" i="1"/>
  <c r="E45" i="1"/>
  <c r="F45" i="1"/>
  <c r="G45" i="1"/>
  <c r="H45" i="1"/>
  <c r="I45" i="1"/>
  <c r="J45" i="1"/>
  <c r="K45" i="1"/>
  <c r="L45" i="1"/>
  <c r="M45" i="1"/>
  <c r="N45" i="1"/>
  <c r="O45" i="1"/>
  <c r="Q45" i="1"/>
  <c r="S45" i="1"/>
  <c r="C45" i="1" s="1"/>
  <c r="D46" i="1"/>
  <c r="E46" i="1"/>
  <c r="F46" i="1"/>
  <c r="G46" i="1"/>
  <c r="H46" i="1"/>
  <c r="I46" i="1"/>
  <c r="J46" i="1"/>
  <c r="K46" i="1"/>
  <c r="L46" i="1"/>
  <c r="M46" i="1"/>
  <c r="N46" i="1"/>
  <c r="O46" i="1"/>
  <c r="Q46" i="1"/>
  <c r="S46" i="1"/>
  <c r="C46" i="1" s="1"/>
  <c r="D47" i="1"/>
  <c r="E47" i="1"/>
  <c r="F47" i="1"/>
  <c r="G47" i="1"/>
  <c r="H47" i="1"/>
  <c r="I47" i="1"/>
  <c r="J47" i="1"/>
  <c r="K47" i="1"/>
  <c r="L47" i="1"/>
  <c r="M47" i="1"/>
  <c r="N47" i="1"/>
  <c r="O47" i="1"/>
  <c r="Q47" i="1"/>
  <c r="S47" i="1"/>
  <c r="C47" i="1" s="1"/>
  <c r="D48" i="1"/>
  <c r="E48" i="1"/>
  <c r="F48" i="1"/>
  <c r="G48" i="1"/>
  <c r="H48" i="1"/>
  <c r="I48" i="1"/>
  <c r="J48" i="1"/>
  <c r="K48" i="1"/>
  <c r="L48" i="1"/>
  <c r="M48" i="1"/>
  <c r="N48" i="1"/>
  <c r="O48" i="1"/>
  <c r="Q48" i="1"/>
  <c r="S48" i="1"/>
  <c r="C48" i="1" s="1"/>
  <c r="D49" i="1"/>
  <c r="E49" i="1"/>
  <c r="F49" i="1"/>
  <c r="G49" i="1"/>
  <c r="H49" i="1"/>
  <c r="I49" i="1"/>
  <c r="J49" i="1"/>
  <c r="K49" i="1"/>
  <c r="L49" i="1"/>
  <c r="M49" i="1"/>
  <c r="N49" i="1"/>
  <c r="O49" i="1"/>
  <c r="Q49" i="1"/>
  <c r="S49" i="1"/>
  <c r="C49" i="1" s="1"/>
  <c r="D50" i="1"/>
  <c r="E50" i="1"/>
  <c r="F50" i="1"/>
  <c r="G50" i="1"/>
  <c r="H50" i="1"/>
  <c r="I50" i="1"/>
  <c r="J50" i="1"/>
  <c r="K50" i="1"/>
  <c r="L50" i="1"/>
  <c r="M50" i="1"/>
  <c r="N50" i="1"/>
  <c r="O50" i="1"/>
  <c r="Q50" i="1"/>
  <c r="S50" i="1"/>
  <c r="C50" i="1" s="1"/>
  <c r="D51" i="1"/>
  <c r="E51" i="1"/>
  <c r="F51" i="1"/>
  <c r="G51" i="1"/>
  <c r="H51" i="1"/>
  <c r="I51" i="1"/>
  <c r="J51" i="1"/>
  <c r="K51" i="1"/>
  <c r="L51" i="1"/>
  <c r="M51" i="1"/>
  <c r="N51" i="1"/>
  <c r="O51" i="1"/>
  <c r="Q51" i="1"/>
  <c r="S51" i="1"/>
  <c r="C51" i="1" s="1"/>
  <c r="D52" i="1"/>
  <c r="E52" i="1"/>
  <c r="F52" i="1"/>
  <c r="G52" i="1"/>
  <c r="H52" i="1"/>
  <c r="I52" i="1"/>
  <c r="J52" i="1"/>
  <c r="K52" i="1"/>
  <c r="L52" i="1"/>
  <c r="M52" i="1"/>
  <c r="N52" i="1"/>
  <c r="O52" i="1"/>
  <c r="Q52" i="1"/>
  <c r="S52" i="1"/>
  <c r="C52" i="1" s="1"/>
  <c r="D53" i="1"/>
  <c r="E53" i="1"/>
  <c r="F53" i="1"/>
  <c r="G53" i="1"/>
  <c r="H53" i="1"/>
  <c r="I53" i="1"/>
  <c r="J53" i="1"/>
  <c r="K53" i="1"/>
  <c r="L53" i="1"/>
  <c r="M53" i="1"/>
  <c r="N53" i="1"/>
  <c r="O53" i="1"/>
  <c r="Q53" i="1"/>
  <c r="S53" i="1"/>
  <c r="C53" i="1" s="1"/>
  <c r="D54" i="1"/>
  <c r="E54" i="1"/>
  <c r="F54" i="1"/>
  <c r="G54" i="1"/>
  <c r="H54" i="1"/>
  <c r="I54" i="1"/>
  <c r="J54" i="1"/>
  <c r="K54" i="1"/>
  <c r="L54" i="1"/>
  <c r="M54" i="1"/>
  <c r="N54" i="1"/>
  <c r="O54" i="1"/>
  <c r="Q54" i="1"/>
  <c r="S54" i="1"/>
  <c r="C54" i="1" s="1"/>
  <c r="D55" i="1"/>
  <c r="E55" i="1"/>
  <c r="F55" i="1"/>
  <c r="G55" i="1"/>
  <c r="H55" i="1"/>
  <c r="I55" i="1"/>
  <c r="J55" i="1"/>
  <c r="K55" i="1"/>
  <c r="L55" i="1"/>
  <c r="M55" i="1"/>
  <c r="N55" i="1"/>
  <c r="O55" i="1"/>
  <c r="Q55" i="1"/>
  <c r="S55" i="1"/>
  <c r="C55" i="1" s="1"/>
  <c r="D56" i="1"/>
  <c r="E56" i="1"/>
  <c r="F56" i="1"/>
  <c r="G56" i="1"/>
  <c r="H56" i="1"/>
  <c r="I56" i="1"/>
  <c r="J56" i="1"/>
  <c r="K56" i="1"/>
  <c r="L56" i="1"/>
  <c r="M56" i="1"/>
  <c r="N56" i="1"/>
  <c r="O56" i="1"/>
  <c r="Q56" i="1"/>
  <c r="S56" i="1"/>
  <c r="C56" i="1" s="1"/>
  <c r="D57" i="1"/>
  <c r="E57" i="1"/>
  <c r="F57" i="1"/>
  <c r="G57" i="1"/>
  <c r="H57" i="1"/>
  <c r="I57" i="1"/>
  <c r="J57" i="1"/>
  <c r="K57" i="1"/>
  <c r="L57" i="1"/>
  <c r="M57" i="1"/>
  <c r="N57" i="1"/>
  <c r="O57" i="1"/>
  <c r="Q57" i="1"/>
  <c r="S57" i="1"/>
  <c r="C57" i="1" s="1"/>
  <c r="D58" i="1"/>
  <c r="E58" i="1"/>
  <c r="F58" i="1"/>
  <c r="G58" i="1"/>
  <c r="H58" i="1"/>
  <c r="I58" i="1"/>
  <c r="J58" i="1"/>
  <c r="K58" i="1"/>
  <c r="L58" i="1"/>
  <c r="M58" i="1"/>
  <c r="N58" i="1"/>
  <c r="O58" i="1"/>
  <c r="Q58" i="1"/>
  <c r="S58" i="1"/>
  <c r="C58" i="1" s="1"/>
  <c r="D59" i="1"/>
  <c r="E59" i="1"/>
  <c r="F59" i="1"/>
  <c r="G59" i="1"/>
  <c r="H59" i="1"/>
  <c r="I59" i="1"/>
  <c r="J59" i="1"/>
  <c r="K59" i="1"/>
  <c r="L59" i="1"/>
  <c r="M59" i="1"/>
  <c r="N59" i="1"/>
  <c r="O59" i="1"/>
  <c r="Q59" i="1"/>
  <c r="S59" i="1"/>
  <c r="C59" i="1" s="1"/>
  <c r="D60" i="1"/>
  <c r="E60" i="1"/>
  <c r="F60" i="1"/>
  <c r="G60" i="1"/>
  <c r="H60" i="1"/>
  <c r="I60" i="1"/>
  <c r="J60" i="1"/>
  <c r="K60" i="1"/>
  <c r="L60" i="1"/>
  <c r="M60" i="1"/>
  <c r="N60" i="1"/>
  <c r="O60" i="1"/>
  <c r="Q60" i="1"/>
  <c r="S60" i="1"/>
  <c r="C60" i="1" s="1"/>
  <c r="D61" i="1"/>
  <c r="E61" i="1"/>
  <c r="F61" i="1"/>
  <c r="G61" i="1"/>
  <c r="H61" i="1"/>
  <c r="I61" i="1"/>
  <c r="J61" i="1"/>
  <c r="K61" i="1"/>
  <c r="L61" i="1"/>
  <c r="M61" i="1"/>
  <c r="N61" i="1"/>
  <c r="O61" i="1"/>
  <c r="Q61" i="1"/>
  <c r="S61" i="1"/>
  <c r="C61" i="1" s="1"/>
  <c r="D62" i="1"/>
  <c r="E62" i="1"/>
  <c r="F62" i="1"/>
  <c r="G62" i="1"/>
  <c r="H62" i="1"/>
  <c r="I62" i="1"/>
  <c r="J62" i="1"/>
  <c r="K62" i="1"/>
  <c r="L62" i="1"/>
  <c r="M62" i="1"/>
  <c r="N62" i="1"/>
  <c r="O62" i="1"/>
  <c r="Q62" i="1"/>
  <c r="S62" i="1"/>
  <c r="C62" i="1" s="1"/>
  <c r="D63" i="1"/>
  <c r="E63" i="1"/>
  <c r="F63" i="1"/>
  <c r="G63" i="1"/>
  <c r="H63" i="1"/>
  <c r="I63" i="1"/>
  <c r="J63" i="1"/>
  <c r="K63" i="1"/>
  <c r="L63" i="1"/>
  <c r="M63" i="1"/>
  <c r="N63" i="1"/>
  <c r="O63" i="1"/>
  <c r="Q63" i="1"/>
  <c r="S63" i="1"/>
  <c r="C63" i="1" s="1"/>
  <c r="D64" i="1"/>
  <c r="E64" i="1"/>
  <c r="F64" i="1"/>
  <c r="G64" i="1"/>
  <c r="H64" i="1"/>
  <c r="I64" i="1"/>
  <c r="J64" i="1"/>
  <c r="K64" i="1"/>
  <c r="L64" i="1"/>
  <c r="M64" i="1"/>
  <c r="N64" i="1"/>
  <c r="O64" i="1"/>
  <c r="Q64" i="1"/>
  <c r="S64" i="1"/>
  <c r="C64" i="1" s="1"/>
  <c r="D65" i="1"/>
  <c r="E65" i="1"/>
  <c r="F65" i="1"/>
  <c r="G65" i="1"/>
  <c r="H65" i="1"/>
  <c r="I65" i="1"/>
  <c r="J65" i="1"/>
  <c r="K65" i="1"/>
  <c r="L65" i="1"/>
  <c r="M65" i="1"/>
  <c r="N65" i="1"/>
  <c r="O65" i="1"/>
  <c r="Q65" i="1"/>
  <c r="S65" i="1"/>
  <c r="C65" i="1" s="1"/>
  <c r="D66" i="1"/>
  <c r="E66" i="1"/>
  <c r="F66" i="1"/>
  <c r="G66" i="1"/>
  <c r="H66" i="1"/>
  <c r="I66" i="1"/>
  <c r="J66" i="1"/>
  <c r="K66" i="1"/>
  <c r="L66" i="1"/>
  <c r="M66" i="1"/>
  <c r="N66" i="1"/>
  <c r="O66" i="1"/>
  <c r="Q66" i="1"/>
  <c r="S66" i="1"/>
  <c r="C66" i="1" s="1"/>
  <c r="D67" i="1"/>
  <c r="E67" i="1"/>
  <c r="F67" i="1"/>
  <c r="G67" i="1"/>
  <c r="H67" i="1"/>
  <c r="I67" i="1"/>
  <c r="J67" i="1"/>
  <c r="K67" i="1"/>
  <c r="L67" i="1"/>
  <c r="M67" i="1"/>
  <c r="N67" i="1"/>
  <c r="O67" i="1"/>
  <c r="Q67" i="1"/>
  <c r="S67" i="1"/>
  <c r="C67" i="1" s="1"/>
  <c r="D68" i="1"/>
  <c r="E68" i="1"/>
  <c r="F68" i="1"/>
  <c r="G68" i="1"/>
  <c r="H68" i="1"/>
  <c r="I68" i="1"/>
  <c r="J68" i="1"/>
  <c r="K68" i="1"/>
  <c r="L68" i="1"/>
  <c r="M68" i="1"/>
  <c r="N68" i="1"/>
  <c r="O68" i="1"/>
  <c r="Q68" i="1"/>
  <c r="S68" i="1"/>
  <c r="C68" i="1" s="1"/>
  <c r="D69" i="1"/>
  <c r="E69" i="1"/>
  <c r="F69" i="1"/>
  <c r="G69" i="1"/>
  <c r="H69" i="1"/>
  <c r="I69" i="1"/>
  <c r="J69" i="1"/>
  <c r="K69" i="1"/>
  <c r="L69" i="1"/>
  <c r="M69" i="1"/>
  <c r="N69" i="1"/>
  <c r="O69" i="1"/>
  <c r="Q69" i="1"/>
  <c r="S69" i="1"/>
  <c r="C69" i="1" s="1"/>
  <c r="D70" i="1"/>
  <c r="E70" i="1"/>
  <c r="F70" i="1"/>
  <c r="G70" i="1"/>
  <c r="H70" i="1"/>
  <c r="I70" i="1"/>
  <c r="J70" i="1"/>
  <c r="K70" i="1"/>
  <c r="L70" i="1"/>
  <c r="M70" i="1"/>
  <c r="N70" i="1"/>
  <c r="O70" i="1"/>
  <c r="Q70" i="1"/>
  <c r="S70" i="1"/>
  <c r="C70" i="1" s="1"/>
  <c r="D71" i="1"/>
  <c r="E71" i="1"/>
  <c r="F71" i="1"/>
  <c r="G71" i="1"/>
  <c r="H71" i="1"/>
  <c r="I71" i="1"/>
  <c r="J71" i="1"/>
  <c r="K71" i="1"/>
  <c r="L71" i="1"/>
  <c r="M71" i="1"/>
  <c r="N71" i="1"/>
  <c r="O71" i="1"/>
  <c r="Q71" i="1"/>
  <c r="S71" i="1"/>
  <c r="C71" i="1" s="1"/>
  <c r="D72" i="1"/>
  <c r="E72" i="1"/>
  <c r="F72" i="1"/>
  <c r="G72" i="1"/>
  <c r="H72" i="1"/>
  <c r="I72" i="1"/>
  <c r="J72" i="1"/>
  <c r="K72" i="1"/>
  <c r="L72" i="1"/>
  <c r="M72" i="1"/>
  <c r="N72" i="1"/>
  <c r="O72" i="1"/>
  <c r="Q72" i="1"/>
  <c r="S72" i="1"/>
  <c r="C72" i="1" s="1"/>
  <c r="D73" i="1"/>
  <c r="E73" i="1"/>
  <c r="F73" i="1"/>
  <c r="G73" i="1"/>
  <c r="H73" i="1"/>
  <c r="I73" i="1"/>
  <c r="J73" i="1"/>
  <c r="K73" i="1"/>
  <c r="L73" i="1"/>
  <c r="M73" i="1"/>
  <c r="N73" i="1"/>
  <c r="O73" i="1"/>
  <c r="Q73" i="1"/>
  <c r="S73" i="1"/>
  <c r="C73" i="1" s="1"/>
  <c r="D74" i="1"/>
  <c r="E74" i="1"/>
  <c r="F74" i="1"/>
  <c r="G74" i="1"/>
  <c r="H74" i="1"/>
  <c r="I74" i="1"/>
  <c r="J74" i="1"/>
  <c r="K74" i="1"/>
  <c r="L74" i="1"/>
  <c r="M74" i="1"/>
  <c r="N74" i="1"/>
  <c r="O74" i="1"/>
  <c r="Q74" i="1"/>
  <c r="S74" i="1"/>
  <c r="C74" i="1" s="1"/>
  <c r="D75" i="1"/>
  <c r="E75" i="1"/>
  <c r="F75" i="1"/>
  <c r="G75" i="1"/>
  <c r="H75" i="1"/>
  <c r="I75" i="1"/>
  <c r="J75" i="1"/>
  <c r="K75" i="1"/>
  <c r="L75" i="1"/>
  <c r="M75" i="1"/>
  <c r="N75" i="1"/>
  <c r="O75" i="1"/>
  <c r="Q75" i="1"/>
  <c r="S75" i="1"/>
  <c r="C75" i="1" s="1"/>
  <c r="D76" i="1"/>
  <c r="E76" i="1"/>
  <c r="F76" i="1"/>
  <c r="G76" i="1"/>
  <c r="H76" i="1"/>
  <c r="I76" i="1"/>
  <c r="J76" i="1"/>
  <c r="K76" i="1"/>
  <c r="L76" i="1"/>
  <c r="M76" i="1"/>
  <c r="N76" i="1"/>
  <c r="O76" i="1"/>
  <c r="Q76" i="1"/>
  <c r="S76" i="1"/>
  <c r="C76" i="1" s="1"/>
  <c r="D77" i="1"/>
  <c r="E77" i="1"/>
  <c r="F77" i="1"/>
  <c r="G77" i="1"/>
  <c r="H77" i="1"/>
  <c r="I77" i="1"/>
  <c r="J77" i="1"/>
  <c r="K77" i="1"/>
  <c r="L77" i="1"/>
  <c r="M77" i="1"/>
  <c r="N77" i="1"/>
  <c r="O77" i="1"/>
  <c r="Q77" i="1"/>
  <c r="S77" i="1"/>
  <c r="C77" i="1" s="1"/>
  <c r="D78" i="1"/>
  <c r="E78" i="1"/>
  <c r="F78" i="1"/>
  <c r="G78" i="1"/>
  <c r="H78" i="1"/>
  <c r="I78" i="1"/>
  <c r="J78" i="1"/>
  <c r="K78" i="1"/>
  <c r="L78" i="1"/>
  <c r="M78" i="1"/>
  <c r="N78" i="1"/>
  <c r="O78" i="1"/>
  <c r="Q78" i="1"/>
  <c r="S78" i="1"/>
  <c r="C78" i="1" s="1"/>
  <c r="D79" i="1"/>
  <c r="E79" i="1"/>
  <c r="F79" i="1"/>
  <c r="G79" i="1"/>
  <c r="H79" i="1"/>
  <c r="I79" i="1"/>
  <c r="J79" i="1"/>
  <c r="K79" i="1"/>
  <c r="L79" i="1"/>
  <c r="M79" i="1"/>
  <c r="N79" i="1"/>
  <c r="O79" i="1"/>
  <c r="Q79" i="1"/>
  <c r="S79" i="1"/>
  <c r="C79" i="1" s="1"/>
  <c r="D80" i="1"/>
  <c r="E80" i="1"/>
  <c r="F80" i="1"/>
  <c r="G80" i="1"/>
  <c r="H80" i="1"/>
  <c r="I80" i="1"/>
  <c r="J80" i="1"/>
  <c r="K80" i="1"/>
  <c r="L80" i="1"/>
  <c r="M80" i="1"/>
  <c r="N80" i="1"/>
  <c r="O80" i="1"/>
  <c r="Q80" i="1"/>
  <c r="S80" i="1"/>
  <c r="C80" i="1" s="1"/>
  <c r="D81" i="1"/>
  <c r="E81" i="1"/>
  <c r="F81" i="1"/>
  <c r="G81" i="1"/>
  <c r="H81" i="1"/>
  <c r="I81" i="1"/>
  <c r="J81" i="1"/>
  <c r="K81" i="1"/>
  <c r="L81" i="1"/>
  <c r="M81" i="1"/>
  <c r="N81" i="1"/>
  <c r="O81" i="1"/>
  <c r="Q81" i="1"/>
  <c r="S81" i="1"/>
  <c r="C81" i="1" s="1"/>
  <c r="D82" i="1"/>
  <c r="E82" i="1"/>
  <c r="F82" i="1"/>
  <c r="G82" i="1"/>
  <c r="H82" i="1"/>
  <c r="I82" i="1"/>
  <c r="J82" i="1"/>
  <c r="K82" i="1"/>
  <c r="L82" i="1"/>
  <c r="M82" i="1"/>
  <c r="N82" i="1"/>
  <c r="O82" i="1"/>
  <c r="Q82" i="1"/>
  <c r="S82" i="1"/>
  <c r="C82" i="1" s="1"/>
  <c r="D83" i="1"/>
  <c r="E83" i="1"/>
  <c r="F83" i="1"/>
  <c r="G83" i="1"/>
  <c r="H83" i="1"/>
  <c r="I83" i="1"/>
  <c r="J83" i="1"/>
  <c r="K83" i="1"/>
  <c r="L83" i="1"/>
  <c r="M83" i="1"/>
  <c r="N83" i="1"/>
  <c r="O83" i="1"/>
  <c r="Q83" i="1"/>
  <c r="S83" i="1"/>
  <c r="C83" i="1" s="1"/>
  <c r="D84" i="1"/>
  <c r="E84" i="1"/>
  <c r="F84" i="1"/>
  <c r="G84" i="1"/>
  <c r="H84" i="1"/>
  <c r="I84" i="1"/>
  <c r="J84" i="1"/>
  <c r="K84" i="1"/>
  <c r="L84" i="1"/>
  <c r="M84" i="1"/>
  <c r="N84" i="1"/>
  <c r="O84" i="1"/>
  <c r="Q84" i="1"/>
  <c r="S84" i="1"/>
  <c r="C84" i="1" s="1"/>
  <c r="D85" i="1"/>
  <c r="E85" i="1"/>
  <c r="F85" i="1"/>
  <c r="G85" i="1"/>
  <c r="H85" i="1"/>
  <c r="I85" i="1"/>
  <c r="J85" i="1"/>
  <c r="K85" i="1"/>
  <c r="L85" i="1"/>
  <c r="M85" i="1"/>
  <c r="N85" i="1"/>
  <c r="O85" i="1"/>
  <c r="Q85" i="1"/>
  <c r="S85" i="1"/>
  <c r="C85" i="1" s="1"/>
  <c r="D86" i="1"/>
  <c r="E86" i="1"/>
  <c r="F86" i="1"/>
  <c r="G86" i="1"/>
  <c r="H86" i="1"/>
  <c r="I86" i="1"/>
  <c r="J86" i="1"/>
  <c r="K86" i="1"/>
  <c r="L86" i="1"/>
  <c r="M86" i="1"/>
  <c r="N86" i="1"/>
  <c r="O86" i="1"/>
  <c r="Q86" i="1"/>
  <c r="S86" i="1"/>
  <c r="C86" i="1" s="1"/>
  <c r="D87" i="1"/>
  <c r="E87" i="1"/>
  <c r="F87" i="1"/>
  <c r="G87" i="1"/>
  <c r="H87" i="1"/>
  <c r="I87" i="1"/>
  <c r="J87" i="1"/>
  <c r="K87" i="1"/>
  <c r="L87" i="1"/>
  <c r="M87" i="1"/>
  <c r="N87" i="1"/>
  <c r="O87" i="1"/>
  <c r="Q87" i="1"/>
  <c r="S87" i="1"/>
  <c r="C87" i="1" s="1"/>
  <c r="D88" i="1"/>
  <c r="E88" i="1"/>
  <c r="F88" i="1"/>
  <c r="G88" i="1"/>
  <c r="H88" i="1"/>
  <c r="I88" i="1"/>
  <c r="J88" i="1"/>
  <c r="K88" i="1"/>
  <c r="L88" i="1"/>
  <c r="M88" i="1"/>
  <c r="N88" i="1"/>
  <c r="O88" i="1"/>
  <c r="Q88" i="1"/>
  <c r="S88" i="1"/>
  <c r="C88" i="1" s="1"/>
  <c r="D89" i="1"/>
  <c r="E89" i="1"/>
  <c r="F89" i="1"/>
  <c r="G89" i="1"/>
  <c r="H89" i="1"/>
  <c r="I89" i="1"/>
  <c r="J89" i="1"/>
  <c r="K89" i="1"/>
  <c r="L89" i="1"/>
  <c r="M89" i="1"/>
  <c r="N89" i="1"/>
  <c r="O89" i="1"/>
  <c r="Q89" i="1"/>
  <c r="S89" i="1"/>
  <c r="C89" i="1" s="1"/>
  <c r="D90" i="1"/>
  <c r="E90" i="1"/>
  <c r="F90" i="1"/>
  <c r="G90" i="1"/>
  <c r="H90" i="1"/>
  <c r="I90" i="1"/>
  <c r="J90" i="1"/>
  <c r="K90" i="1"/>
  <c r="L90" i="1"/>
  <c r="M90" i="1"/>
  <c r="N90" i="1"/>
  <c r="O90" i="1"/>
  <c r="Q90" i="1"/>
  <c r="S90" i="1"/>
  <c r="C90" i="1" s="1"/>
  <c r="D91" i="1"/>
  <c r="E91" i="1"/>
  <c r="F91" i="1"/>
  <c r="G91" i="1"/>
  <c r="H91" i="1"/>
  <c r="I91" i="1"/>
  <c r="J91" i="1"/>
  <c r="K91" i="1"/>
  <c r="L91" i="1"/>
  <c r="M91" i="1"/>
  <c r="N91" i="1"/>
  <c r="O91" i="1"/>
  <c r="Q91" i="1"/>
  <c r="S91" i="1"/>
  <c r="C91" i="1" s="1"/>
  <c r="D92" i="1"/>
  <c r="E92" i="1"/>
  <c r="F92" i="1"/>
  <c r="G92" i="1"/>
  <c r="H92" i="1"/>
  <c r="I92" i="1"/>
  <c r="J92" i="1"/>
  <c r="K92" i="1"/>
  <c r="L92" i="1"/>
  <c r="M92" i="1"/>
  <c r="N92" i="1"/>
  <c r="O92" i="1"/>
  <c r="Q92" i="1"/>
  <c r="S92" i="1"/>
  <c r="C92" i="1" s="1"/>
  <c r="D93" i="1"/>
  <c r="E93" i="1"/>
  <c r="F93" i="1"/>
  <c r="G93" i="1"/>
  <c r="H93" i="1"/>
  <c r="I93" i="1"/>
  <c r="J93" i="1"/>
  <c r="K93" i="1"/>
  <c r="L93" i="1"/>
  <c r="M93" i="1"/>
  <c r="N93" i="1"/>
  <c r="O93" i="1"/>
  <c r="Q93" i="1"/>
  <c r="S93" i="1"/>
  <c r="C93" i="1" s="1"/>
  <c r="D94" i="1"/>
  <c r="E94" i="1"/>
  <c r="F94" i="1"/>
  <c r="G94" i="1"/>
  <c r="H94" i="1"/>
  <c r="I94" i="1"/>
  <c r="J94" i="1"/>
  <c r="K94" i="1"/>
  <c r="L94" i="1"/>
  <c r="M94" i="1"/>
  <c r="N94" i="1"/>
  <c r="O94" i="1"/>
  <c r="Q94" i="1"/>
  <c r="S94" i="1"/>
  <c r="C94" i="1" s="1"/>
  <c r="D95" i="1"/>
  <c r="E95" i="1"/>
  <c r="F95" i="1"/>
  <c r="G95" i="1"/>
  <c r="H95" i="1"/>
  <c r="I95" i="1"/>
  <c r="J95" i="1"/>
  <c r="K95" i="1"/>
  <c r="L95" i="1"/>
  <c r="M95" i="1"/>
  <c r="N95" i="1"/>
  <c r="O95" i="1"/>
  <c r="Q95" i="1"/>
  <c r="S95" i="1"/>
  <c r="C95" i="1" s="1"/>
  <c r="D96" i="1"/>
  <c r="E96" i="1"/>
  <c r="F96" i="1"/>
  <c r="G96" i="1"/>
  <c r="H96" i="1"/>
  <c r="I96" i="1"/>
  <c r="J96" i="1"/>
  <c r="K96" i="1"/>
  <c r="L96" i="1"/>
  <c r="M96" i="1"/>
  <c r="N96" i="1"/>
  <c r="O96" i="1"/>
  <c r="Q96" i="1"/>
  <c r="S96" i="1"/>
  <c r="C96" i="1" s="1"/>
  <c r="D97" i="1"/>
  <c r="E97" i="1"/>
  <c r="F97" i="1"/>
  <c r="G97" i="1"/>
  <c r="H97" i="1"/>
  <c r="I97" i="1"/>
  <c r="J97" i="1"/>
  <c r="K97" i="1"/>
  <c r="L97" i="1"/>
  <c r="M97" i="1"/>
  <c r="N97" i="1"/>
  <c r="O97" i="1"/>
  <c r="Q97" i="1"/>
  <c r="S97" i="1"/>
  <c r="C97" i="1" s="1"/>
  <c r="D98" i="1"/>
  <c r="E98" i="1"/>
  <c r="F98" i="1"/>
  <c r="G98" i="1"/>
  <c r="H98" i="1"/>
  <c r="I98" i="1"/>
  <c r="J98" i="1"/>
  <c r="K98" i="1"/>
  <c r="L98" i="1"/>
  <c r="M98" i="1"/>
  <c r="N98" i="1"/>
  <c r="O98" i="1"/>
  <c r="Q98" i="1"/>
  <c r="S98" i="1"/>
  <c r="C98" i="1" s="1"/>
  <c r="D99" i="1"/>
  <c r="E99" i="1"/>
  <c r="F99" i="1"/>
  <c r="G99" i="1"/>
  <c r="H99" i="1"/>
  <c r="I99" i="1"/>
  <c r="J99" i="1"/>
  <c r="K99" i="1"/>
  <c r="L99" i="1"/>
  <c r="M99" i="1"/>
  <c r="N99" i="1"/>
  <c r="O99" i="1"/>
  <c r="Q99" i="1"/>
  <c r="S99" i="1"/>
  <c r="C99" i="1" s="1"/>
  <c r="D100" i="1"/>
  <c r="E100" i="1"/>
  <c r="F100" i="1"/>
  <c r="G100" i="1"/>
  <c r="H100" i="1"/>
  <c r="I100" i="1"/>
  <c r="J100" i="1"/>
  <c r="K100" i="1"/>
  <c r="L100" i="1"/>
  <c r="M100" i="1"/>
  <c r="N100" i="1"/>
  <c r="O100" i="1"/>
  <c r="Q100" i="1"/>
  <c r="S100" i="1"/>
  <c r="C100" i="1" s="1"/>
  <c r="D101" i="1"/>
  <c r="E101" i="1"/>
  <c r="F101" i="1"/>
  <c r="G101" i="1"/>
  <c r="H101" i="1"/>
  <c r="I101" i="1"/>
  <c r="J101" i="1"/>
  <c r="K101" i="1"/>
  <c r="L101" i="1"/>
  <c r="M101" i="1"/>
  <c r="N101" i="1"/>
  <c r="O101" i="1"/>
  <c r="Q101" i="1"/>
  <c r="S101" i="1"/>
  <c r="C101" i="1" s="1"/>
  <c r="D102" i="1"/>
  <c r="E102" i="1"/>
  <c r="F102" i="1"/>
  <c r="G102" i="1"/>
  <c r="H102" i="1"/>
  <c r="I102" i="1"/>
  <c r="J102" i="1"/>
  <c r="K102" i="1"/>
  <c r="L102" i="1"/>
  <c r="M102" i="1"/>
  <c r="N102" i="1"/>
  <c r="O102" i="1"/>
  <c r="Q102" i="1"/>
  <c r="S102" i="1"/>
  <c r="C102" i="1" s="1"/>
  <c r="D103" i="1"/>
  <c r="E103" i="1"/>
  <c r="F103" i="1"/>
  <c r="G103" i="1"/>
  <c r="H103" i="1"/>
  <c r="I103" i="1"/>
  <c r="J103" i="1"/>
  <c r="K103" i="1"/>
  <c r="L103" i="1"/>
  <c r="M103" i="1"/>
  <c r="N103" i="1"/>
  <c r="O103" i="1"/>
  <c r="Q103" i="1"/>
  <c r="S103" i="1"/>
  <c r="C103" i="1" s="1"/>
  <c r="D104" i="1"/>
  <c r="E104" i="1"/>
  <c r="F104" i="1"/>
  <c r="G104" i="1"/>
  <c r="H104" i="1"/>
  <c r="I104" i="1"/>
  <c r="J104" i="1"/>
  <c r="K104" i="1"/>
  <c r="L104" i="1"/>
  <c r="M104" i="1"/>
  <c r="N104" i="1"/>
  <c r="O104" i="1"/>
  <c r="Q104" i="1"/>
  <c r="S104" i="1"/>
  <c r="C104" i="1" s="1"/>
  <c r="D105" i="1"/>
  <c r="E105" i="1"/>
  <c r="F105" i="1"/>
  <c r="G105" i="1"/>
  <c r="H105" i="1"/>
  <c r="I105" i="1"/>
  <c r="J105" i="1"/>
  <c r="K105" i="1"/>
  <c r="L105" i="1"/>
  <c r="M105" i="1"/>
  <c r="N105" i="1"/>
  <c r="O105" i="1"/>
  <c r="Q105" i="1"/>
  <c r="S105" i="1"/>
  <c r="C105" i="1" s="1"/>
</calcChain>
</file>

<file path=xl/sharedStrings.xml><?xml version="1.0" encoding="utf-8"?>
<sst xmlns="http://schemas.openxmlformats.org/spreadsheetml/2006/main" count="130" uniqueCount="79">
  <si>
    <t>INNER_FLANGE_17</t>
  </si>
  <si>
    <t>INNER_FLANGE_16</t>
  </si>
  <si>
    <t>INNER_FLANGE_15</t>
  </si>
  <si>
    <t>INNER_FLANGE_14</t>
  </si>
  <si>
    <t>INNER_FLANGE_13</t>
  </si>
  <si>
    <t>INNER_FLANGE_12</t>
  </si>
  <si>
    <t>INNER_FLANGE_11</t>
  </si>
  <si>
    <t>INNER_FLANGE_10</t>
  </si>
  <si>
    <t>INNER_FLANGE_9</t>
  </si>
  <si>
    <t>INNER_FLANGE_8</t>
  </si>
  <si>
    <t>INNER_FLANGE_7</t>
  </si>
  <si>
    <t>INNER_FLANGE_6</t>
  </si>
  <si>
    <t>INNER_FLANGE_5</t>
  </si>
  <si>
    <t>INNER_FLANGE_4</t>
  </si>
  <si>
    <t>INNER_FLANGE_3</t>
  </si>
  <si>
    <t>INNER_FLANGE_2</t>
  </si>
  <si>
    <t>INNER_FLANGE_1</t>
  </si>
  <si>
    <t>OUTER_FLANGE_17</t>
  </si>
  <si>
    <t>OUTER_FLANGE_16</t>
  </si>
  <si>
    <t>OUTER_FLANGE_15</t>
  </si>
  <si>
    <t>OUTER_FLANGE_14</t>
  </si>
  <si>
    <t>OUTER_FLANGE_13</t>
  </si>
  <si>
    <t>OUTER_FLANGE_12</t>
  </si>
  <si>
    <t>OUTER_FLANGE_11</t>
  </si>
  <si>
    <t>OUTER_FLANGE_10</t>
  </si>
  <si>
    <t>OUTER_FLANGE_9</t>
  </si>
  <si>
    <t>OUTER_FLANGE_8</t>
  </si>
  <si>
    <t>OUTER_FLANGE_7</t>
  </si>
  <si>
    <t>OUTER_FLANGE_6</t>
  </si>
  <si>
    <t>OUTER_FLANGE_5</t>
  </si>
  <si>
    <t>OUTER_FLANGE_4</t>
  </si>
  <si>
    <t>OUTER_FLANGE_3</t>
  </si>
  <si>
    <t>OUTER_FLANGE_2</t>
  </si>
  <si>
    <t>OUTER_FLANGE_1</t>
  </si>
  <si>
    <t>WEB_17</t>
  </si>
  <si>
    <t>WEB_16</t>
  </si>
  <si>
    <t>WEB_15</t>
  </si>
  <si>
    <t>WEB_14</t>
  </si>
  <si>
    <t>WEB_13</t>
  </si>
  <si>
    <t>WEB_12</t>
  </si>
  <si>
    <t>WEB_11</t>
  </si>
  <si>
    <t>WEB_10</t>
  </si>
  <si>
    <t>WEB_9</t>
  </si>
  <si>
    <t>WEB_8</t>
  </si>
  <si>
    <t>WEB_7</t>
  </si>
  <si>
    <t>WEB_6</t>
  </si>
  <si>
    <t>WEB_5</t>
  </si>
  <si>
    <t>WEB_4</t>
  </si>
  <si>
    <t>WEB_3</t>
  </si>
  <si>
    <t>WEB_2</t>
  </si>
  <si>
    <t>WEB_1</t>
  </si>
  <si>
    <t>AFT_PAX_DOOR_FRAME</t>
  </si>
  <si>
    <t>FWD_PAX_DOOR_FRAME</t>
  </si>
  <si>
    <t>Volume (mm^3)</t>
  </si>
  <si>
    <t>Area (mm^2)</t>
  </si>
  <si>
    <t>T2</t>
  </si>
  <si>
    <t>Thickness</t>
  </si>
  <si>
    <t>Z4</t>
  </si>
  <si>
    <t>Y4</t>
  </si>
  <si>
    <t>X4</t>
  </si>
  <si>
    <t>Z3</t>
  </si>
  <si>
    <t>Y3</t>
  </si>
  <si>
    <t>X3</t>
  </si>
  <si>
    <t>Z2</t>
  </si>
  <si>
    <t>Y2</t>
  </si>
  <si>
    <t>X2</t>
  </si>
  <si>
    <t>Z1</t>
  </si>
  <si>
    <t>Y1</t>
  </si>
  <si>
    <t>X1</t>
  </si>
  <si>
    <t>Mass</t>
  </si>
  <si>
    <t>Title</t>
  </si>
  <si>
    <t>Dimensions = mm</t>
  </si>
  <si>
    <t>SYM</t>
  </si>
  <si>
    <t>Mass = grammes</t>
  </si>
  <si>
    <t>Units are:</t>
  </si>
  <si>
    <t>g/cm^3</t>
  </si>
  <si>
    <t>Density =</t>
  </si>
  <si>
    <t>(Purpose = Define PAX DOOR FWD &amp; AFT FRAMES)</t>
  </si>
  <si>
    <t>DOOR_FRAME_PRIMITIVES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</si>
</sst>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2" x14ac:knownFonts="1">
    <font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sz val="12"/>
      <color rgb="FFFF0000"/>
      <name val="Arial"/>
      <family val="2"/>
      <scheme val="minor"/>
    </font>
    <font>
      <sz val="12"/>
      <color rgb="FF000000"/>
      <name val="Arial"/>
      <family val="2"/>
      <scheme val="minor"/>
    </font>
    <font>
      <sz val="10"/>
      <name val="Arial"/>
      <family val="2"/>
    </font>
    <font>
      <sz val="16"/>
      <color rgb="FF000000"/>
      <name val="Arial"/>
      <family val="2"/>
      <scheme val="minor"/>
    </font>
    <font>
      <b/>
      <sz val="12"/>
      <color rgb="FF000000"/>
      <name val="Arial"/>
      <family val="2"/>
      <scheme val="minor"/>
    </font>
    <font>
      <sz val="10"/>
      <color rgb="FFFF0000"/>
      <name val="Arial"/>
      <family val="2"/>
      <scheme val="minor"/>
    </font>
    <font>
      <i/>
      <sz val="12"/>
      <color rgb="FFFF0000"/>
      <name val="Arial"/>
      <family val="2"/>
      <scheme val="minor"/>
    </font>
    <font>
      <b/>
      <sz val="12"/>
      <color rgb="FFFF0000"/>
      <name val="Arial"/>
      <family val="2"/>
      <scheme val="minor"/>
    </font>
    <font>
      <i/>
      <sz val="12"/>
      <color rgb="FFFF0000"/>
      <name val="Arial"/>
      <family val="2"/>
    </font>
    <font>
      <sz val="10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FCE5CD"/>
        <bgColor rgb="FFFCE5CD"/>
      </patternFill>
    </fill>
    <fill>
      <patternFill patternType="solid">
        <fgColor rgb="FFF4CCCC"/>
        <bgColor rgb="FFF4CCCC"/>
      </patternFill>
    </fill>
    <fill>
      <patternFill patternType="solid">
        <fgColor rgb="FFE6B8AF"/>
        <bgColor rgb="FFE6B8A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0" borderId="0" xfId="0" applyFont="1" applyAlignment="1">
      <alignment horizontal="left"/>
    </xf>
    <xf numFmtId="1" fontId="3" fillId="0" borderId="1" xfId="0" applyNumberFormat="1" applyFont="1" applyBorder="1" applyAlignment="1">
      <alignment horizontal="left"/>
    </xf>
    <xf numFmtId="164" fontId="3" fillId="0" borderId="1" xfId="0" applyNumberFormat="1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5" fillId="0" borderId="4" xfId="0" applyFont="1" applyBorder="1" applyAlignment="1">
      <alignment horizontal="center" vertical="center" textRotation="90"/>
    </xf>
    <xf numFmtId="0" fontId="6" fillId="2" borderId="1" xfId="0" applyFont="1" applyFill="1" applyBorder="1" applyAlignment="1">
      <alignment horizontal="left"/>
    </xf>
    <xf numFmtId="0" fontId="6" fillId="3" borderId="1" xfId="0" applyFont="1" applyFill="1" applyBorder="1" applyAlignment="1">
      <alignment horizontal="left"/>
    </xf>
    <xf numFmtId="0" fontId="6" fillId="4" borderId="1" xfId="0" applyFont="1" applyFill="1" applyBorder="1" applyAlignment="1">
      <alignment horizontal="left"/>
    </xf>
    <xf numFmtId="0" fontId="6" fillId="5" borderId="1" xfId="0" applyFont="1" applyFill="1" applyBorder="1" applyAlignment="1">
      <alignment horizontal="left"/>
    </xf>
    <xf numFmtId="0" fontId="6" fillId="6" borderId="1" xfId="0" applyFont="1" applyFill="1" applyBorder="1" applyAlignment="1">
      <alignment horizontal="left"/>
    </xf>
    <xf numFmtId="0" fontId="6" fillId="7" borderId="1" xfId="0" applyFont="1" applyFill="1" applyBorder="1" applyAlignment="1">
      <alignment horizontal="left"/>
    </xf>
    <xf numFmtId="0" fontId="3" fillId="0" borderId="0" xfId="0" applyFont="1" applyAlignment="1">
      <alignment horizontal="left"/>
    </xf>
    <xf numFmtId="0" fontId="7" fillId="0" borderId="0" xfId="0" applyFont="1"/>
    <xf numFmtId="0" fontId="8" fillId="0" borderId="0" xfId="0" applyFont="1" applyAlignment="1">
      <alignment horizontal="left"/>
    </xf>
    <xf numFmtId="0" fontId="1" fillId="0" borderId="0" xfId="0" applyFont="1"/>
    <xf numFmtId="0" fontId="9" fillId="2" borderId="0" xfId="0" applyFont="1" applyFill="1" applyAlignment="1">
      <alignment horizontal="center"/>
    </xf>
    <xf numFmtId="164" fontId="8" fillId="0" borderId="0" xfId="0" applyNumberFormat="1" applyFont="1" applyAlignment="1">
      <alignment horizontal="left"/>
    </xf>
    <xf numFmtId="164" fontId="8" fillId="0" borderId="0" xfId="0" applyNumberFormat="1" applyFont="1" applyAlignment="1">
      <alignment horizontal="center"/>
    </xf>
    <xf numFmtId="165" fontId="10" fillId="0" borderId="0" xfId="0" applyNumberFormat="1" applyFont="1"/>
    <xf numFmtId="165" fontId="10" fillId="0" borderId="0" xfId="0" applyNumberFormat="1" applyFont="1" applyAlignment="1">
      <alignment horizontal="center"/>
    </xf>
    <xf numFmtId="0" fontId="11" fillId="0" borderId="0" xfId="0" applyFont="1"/>
    <xf numFmtId="0" fontId="10" fillId="0" borderId="0" xfId="0" applyFont="1"/>
    <xf numFmtId="0" fontId="6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OMEN\Aman%20Dropbox\Aman%20verma\My%20PC%20(LAPTOP-UK6RT4E8)\Downloads\GEOMETRY_PROCESSING.xlsx" TargetMode="External"/><Relationship Id="rId1" Type="http://schemas.openxmlformats.org/officeDocument/2006/relationships/externalLinkPath" Target="GEOMETRY_PROCESSING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OMEN\Aman%20Dropbox\Aman%20verma\My%20PC%20(LAPTOP-UK6RT4E8)\Downloads\INPUTS.xlsx" TargetMode="External"/><Relationship Id="rId1" Type="http://schemas.openxmlformats.org/officeDocument/2006/relationships/externalLinkPath" Target="INPU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EOMETRY_PROCESSING"/>
    </sheetNames>
    <sheetDataSet>
      <sheetData sheetId="0">
        <row r="6">
          <cell r="F6">
            <v>971.48179193981059</v>
          </cell>
          <cell r="G6">
            <v>1552.1429554975912</v>
          </cell>
          <cell r="M6">
            <v>928.8413430663303</v>
          </cell>
          <cell r="N6">
            <v>1546.5414106210137</v>
          </cell>
        </row>
        <row r="7">
          <cell r="F7">
            <v>1141.5279380268596</v>
          </cell>
          <cell r="G7">
            <v>1391.7514604842547</v>
          </cell>
          <cell r="M7">
            <v>1051.8553061747486</v>
          </cell>
          <cell r="N7">
            <v>1418.7859195069507</v>
          </cell>
        </row>
        <row r="8">
          <cell r="F8">
            <v>1195.5274236060093</v>
          </cell>
          <cell r="G8">
            <v>1341.2869648120595</v>
          </cell>
          <cell r="M8">
            <v>1135.8485439414455</v>
          </cell>
          <cell r="N8">
            <v>1339.2687771335559</v>
          </cell>
        </row>
        <row r="9">
          <cell r="F9">
            <v>1311.2326552809975</v>
          </cell>
          <cell r="G9">
            <v>1215.6170728194918</v>
          </cell>
          <cell r="M9">
            <v>1225.7646331188776</v>
          </cell>
          <cell r="N9">
            <v>1238.3609812555183</v>
          </cell>
        </row>
        <row r="10">
          <cell r="F10">
            <v>1391.9488026884201</v>
          </cell>
          <cell r="G10">
            <v>1109.3916986184875</v>
          </cell>
          <cell r="M10">
            <v>1321.7710007211492</v>
          </cell>
          <cell r="N10">
            <v>1107.0391571361602</v>
          </cell>
        </row>
        <row r="11">
          <cell r="F11">
            <v>1468.1001058371221</v>
          </cell>
          <cell r="G11">
            <v>991.15672348652413</v>
          </cell>
          <cell r="M11">
            <v>1381.3531075159215</v>
          </cell>
          <cell r="N11">
            <v>1005.9165404502407</v>
          </cell>
        </row>
        <row r="12">
          <cell r="F12">
            <v>1524.5801532266989</v>
          </cell>
          <cell r="G12">
            <v>887.79759382128066</v>
          </cell>
          <cell r="M12">
            <v>1438.7367967424452</v>
          </cell>
          <cell r="N12">
            <v>885.19743247672966</v>
          </cell>
        </row>
        <row r="13">
          <cell r="F13">
            <v>1579.7190460946467</v>
          </cell>
          <cell r="G13">
            <v>765.77445544937871</v>
          </cell>
          <cell r="M13">
            <v>1479.2078353622628</v>
          </cell>
          <cell r="N13">
            <v>769.51180517682155</v>
          </cell>
        </row>
        <row r="14">
          <cell r="F14">
            <v>1628.2583517479252</v>
          </cell>
          <cell r="G14">
            <v>627.35863939488229</v>
          </cell>
          <cell r="M14">
            <v>1513.2556805919448</v>
          </cell>
          <cell r="N14">
            <v>624.60817415395661</v>
          </cell>
        </row>
        <row r="15">
          <cell r="F15">
            <v>1664.0034307042376</v>
          </cell>
          <cell r="G15">
            <v>480.33281027559133</v>
          </cell>
          <cell r="M15">
            <v>1532.6253797989684</v>
          </cell>
          <cell r="N15">
            <v>476.02305228501859</v>
          </cell>
        </row>
        <row r="16">
          <cell r="F16">
            <v>1685.934149385776</v>
          </cell>
          <cell r="G16">
            <v>330.45651661907419</v>
          </cell>
          <cell r="M16">
            <v>1539.4509554931237</v>
          </cell>
          <cell r="N16">
            <v>328.41990956388781</v>
          </cell>
        </row>
        <row r="17">
          <cell r="F17">
            <v>1692.782738277491</v>
          </cell>
          <cell r="G17">
            <v>177.6532211708313</v>
          </cell>
          <cell r="M17">
            <v>1538.1255523483728</v>
          </cell>
          <cell r="N17">
            <v>177.65752634956843</v>
          </cell>
        </row>
        <row r="18">
          <cell r="F18">
            <v>1684.7492195570326</v>
          </cell>
          <cell r="G18">
            <v>47.292512766479113</v>
          </cell>
          <cell r="M18">
            <v>1527.9589938513384</v>
          </cell>
          <cell r="N18">
            <v>46.960080396665241</v>
          </cell>
        </row>
        <row r="19">
          <cell r="F19">
            <v>1662.5886078409465</v>
          </cell>
          <cell r="G19">
            <v>-91.43586223048284</v>
          </cell>
          <cell r="M19">
            <v>1503.090174364565</v>
          </cell>
          <cell r="N19">
            <v>-83.007436989602795</v>
          </cell>
        </row>
        <row r="20">
          <cell r="F20">
            <v>1630.7647300423334</v>
          </cell>
          <cell r="G20">
            <v>-214.21967873411859</v>
          </cell>
          <cell r="M20">
            <v>1460.9018366119258</v>
          </cell>
          <cell r="N20">
            <v>-212.50654634548081</v>
          </cell>
        </row>
        <row r="21">
          <cell r="F21">
            <v>1582.9798177515424</v>
          </cell>
          <cell r="G21">
            <v>-351.96929554815819</v>
          </cell>
          <cell r="M21">
            <v>1409.2692623232501</v>
          </cell>
          <cell r="N21">
            <v>-328.7988115622893</v>
          </cell>
        </row>
        <row r="22">
          <cell r="F22">
            <v>1528.7553922730899</v>
          </cell>
          <cell r="G22">
            <v>-471.6491426834524</v>
          </cell>
          <cell r="M22">
            <v>1334.8182118947632</v>
          </cell>
          <cell r="N22">
            <v>-467.20474996454232</v>
          </cell>
        </row>
        <row r="23">
          <cell r="F23">
            <v>1477.983219010149</v>
          </cell>
          <cell r="G23">
            <v>-585.37109803224689</v>
          </cell>
          <cell r="M23">
            <v>1277.0769666860122</v>
          </cell>
          <cell r="N23">
            <v>-570.70065424719212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PUTS"/>
    </sheetNames>
    <sheetDataSet>
      <sheetData sheetId="0">
        <row r="6">
          <cell r="O6">
            <v>38624.400000000001</v>
          </cell>
          <cell r="P6">
            <v>1037.8</v>
          </cell>
          <cell r="Q6">
            <v>1658.1</v>
          </cell>
          <cell r="T6">
            <v>39604.400000000001</v>
          </cell>
          <cell r="U6">
            <v>993.2</v>
          </cell>
          <cell r="V6">
            <v>1653.7</v>
          </cell>
        </row>
        <row r="7">
          <cell r="O7">
            <v>38624.400000000001</v>
          </cell>
          <cell r="P7">
            <v>1220.8</v>
          </cell>
          <cell r="Q7">
            <v>1488.4</v>
          </cell>
          <cell r="T7">
            <v>39604.400000000001</v>
          </cell>
          <cell r="U7">
            <v>1126.3</v>
          </cell>
          <cell r="V7">
            <v>1519.2</v>
          </cell>
        </row>
        <row r="8">
          <cell r="O8">
            <v>38624.400000000001</v>
          </cell>
          <cell r="P8">
            <v>1278.7</v>
          </cell>
          <cell r="Q8">
            <v>1434.6</v>
          </cell>
          <cell r="T8">
            <v>39604.400000000001</v>
          </cell>
          <cell r="U8">
            <v>1216.7</v>
          </cell>
          <cell r="V8">
            <v>1434.6</v>
          </cell>
        </row>
        <row r="9">
          <cell r="O9">
            <v>38624.400000000001</v>
          </cell>
          <cell r="P9">
            <v>1402.9</v>
          </cell>
          <cell r="Q9">
            <v>1300.5999999999999</v>
          </cell>
          <cell r="T9">
            <v>39604.400000000001</v>
          </cell>
          <cell r="U9">
            <v>1313.7</v>
          </cell>
          <cell r="V9">
            <v>1327.2</v>
          </cell>
        </row>
        <row r="10">
          <cell r="O10">
            <v>38624.400000000001</v>
          </cell>
          <cell r="P10">
            <v>1489.7</v>
          </cell>
          <cell r="Q10">
            <v>1187.3</v>
          </cell>
          <cell r="T10">
            <v>39604.400000000001</v>
          </cell>
          <cell r="U10">
            <v>1417.6</v>
          </cell>
          <cell r="V10">
            <v>1187.3</v>
          </cell>
        </row>
        <row r="11">
          <cell r="O11">
            <v>38624.400000000001</v>
          </cell>
          <cell r="P11">
            <v>1571.7</v>
          </cell>
          <cell r="Q11">
            <v>1061.0999999999999</v>
          </cell>
          <cell r="T11">
            <v>39604.400000000001</v>
          </cell>
          <cell r="U11">
            <v>1482.4</v>
          </cell>
          <cell r="V11">
            <v>1079.5</v>
          </cell>
        </row>
        <row r="12">
          <cell r="O12">
            <v>38624.400000000001</v>
          </cell>
          <cell r="P12">
            <v>1632.6</v>
          </cell>
          <cell r="Q12">
            <v>950.7</v>
          </cell>
          <cell r="T12">
            <v>39604.400000000001</v>
          </cell>
          <cell r="U12">
            <v>1545.2</v>
          </cell>
          <cell r="V12">
            <v>950.7</v>
          </cell>
        </row>
        <row r="13">
          <cell r="O13">
            <v>38624.400000000001</v>
          </cell>
          <cell r="P13">
            <v>1692.2</v>
          </cell>
          <cell r="Q13">
            <v>820.3</v>
          </cell>
          <cell r="T13">
            <v>39604.400000000001</v>
          </cell>
          <cell r="U13">
            <v>1590.1</v>
          </cell>
          <cell r="V13">
            <v>827.2</v>
          </cell>
        </row>
        <row r="14">
          <cell r="O14">
            <v>38624.400000000001</v>
          </cell>
          <cell r="P14">
            <v>1744.9</v>
          </cell>
          <cell r="Q14">
            <v>672.3</v>
          </cell>
          <cell r="T14">
            <v>39604.400000000001</v>
          </cell>
          <cell r="U14">
            <v>1628.8</v>
          </cell>
          <cell r="V14">
            <v>672.3</v>
          </cell>
        </row>
        <row r="15">
          <cell r="O15">
            <v>38624.400000000001</v>
          </cell>
          <cell r="P15">
            <v>1784.1</v>
          </cell>
          <cell r="Q15">
            <v>515</v>
          </cell>
          <cell r="T15">
            <v>39604.400000000001</v>
          </cell>
          <cell r="U15">
            <v>1652</v>
          </cell>
          <cell r="V15">
            <v>513.1</v>
          </cell>
        </row>
        <row r="16">
          <cell r="O16">
            <v>38624.400000000001</v>
          </cell>
          <cell r="P16">
            <v>1808.6</v>
          </cell>
          <cell r="Q16">
            <v>354.5</v>
          </cell>
          <cell r="T16">
            <v>39604.400000000001</v>
          </cell>
          <cell r="U16">
            <v>1661.7</v>
          </cell>
          <cell r="V16">
            <v>354.5</v>
          </cell>
        </row>
        <row r="17">
          <cell r="O17">
            <v>38624.400000000001</v>
          </cell>
          <cell r="P17">
            <v>1817.1</v>
          </cell>
          <cell r="Q17">
            <v>190.7</v>
          </cell>
          <cell r="T17">
            <v>39604.400000000001</v>
          </cell>
          <cell r="U17">
            <v>1662.3</v>
          </cell>
          <cell r="V17">
            <v>192</v>
          </cell>
        </row>
        <row r="18">
          <cell r="O18">
            <v>38624.400000000001</v>
          </cell>
          <cell r="P18">
            <v>1809.7</v>
          </cell>
          <cell r="Q18">
            <v>50.8</v>
          </cell>
          <cell r="T18">
            <v>39604.400000000001</v>
          </cell>
          <cell r="U18">
            <v>1652.9</v>
          </cell>
          <cell r="V18">
            <v>50.8</v>
          </cell>
        </row>
        <row r="19">
          <cell r="O19">
            <v>38624.400000000001</v>
          </cell>
          <cell r="P19">
            <v>1787.4</v>
          </cell>
          <cell r="Q19">
            <v>-98.3</v>
          </cell>
          <cell r="T19">
            <v>39604.400000000001</v>
          </cell>
          <cell r="U19">
            <v>1627.9</v>
          </cell>
          <cell r="V19">
            <v>-89.9</v>
          </cell>
        </row>
        <row r="20">
          <cell r="O20">
            <v>38624.400000000001</v>
          </cell>
          <cell r="P20">
            <v>1754.7</v>
          </cell>
          <cell r="Q20">
            <v>-230.5</v>
          </cell>
          <cell r="T20">
            <v>39604.400000000001</v>
          </cell>
          <cell r="U20">
            <v>1584.6</v>
          </cell>
          <cell r="V20">
            <v>-230.5</v>
          </cell>
        </row>
        <row r="21">
          <cell r="O21">
            <v>38624.400000000001</v>
          </cell>
          <cell r="P21">
            <v>1705</v>
          </cell>
          <cell r="Q21">
            <v>-379.1</v>
          </cell>
          <cell r="T21">
            <v>39604.400000000001</v>
          </cell>
          <cell r="U21">
            <v>1531</v>
          </cell>
          <cell r="V21">
            <v>-357.2</v>
          </cell>
        </row>
        <row r="22">
          <cell r="O22">
            <v>38624.400000000001</v>
          </cell>
          <cell r="P22">
            <v>1648.2</v>
          </cell>
          <cell r="Q22">
            <v>-508.5</v>
          </cell>
          <cell r="T22">
            <v>39604.400000000001</v>
          </cell>
          <cell r="U22">
            <v>1452.8</v>
          </cell>
          <cell r="V22">
            <v>-508.5</v>
          </cell>
        </row>
        <row r="23">
          <cell r="O23">
            <v>38624.400000000001</v>
          </cell>
          <cell r="P23">
            <v>1594.2</v>
          </cell>
          <cell r="Q23">
            <v>-631.4</v>
          </cell>
          <cell r="T23">
            <v>39604.400000000001</v>
          </cell>
          <cell r="U23">
            <v>1391.2</v>
          </cell>
          <cell r="V23">
            <v>-621.70000000000005</v>
          </cell>
        </row>
      </sheetData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0FA833-1F8C-4A62-B223-DFE032979FDF}">
  <sheetPr>
    <outlinePr summaryBelow="0" summaryRight="0"/>
  </sheetPr>
  <dimension ref="A1:T884"/>
  <sheetViews>
    <sheetView tabSelected="1" workbookViewId="0">
      <pane ySplit="3" topLeftCell="A4" activePane="bottomLeft" state="frozen"/>
      <selection pane="bottomLeft" activeCell="B11" sqref="B11"/>
    </sheetView>
  </sheetViews>
  <sheetFormatPr defaultColWidth="12.6640625" defaultRowHeight="15.75" customHeight="1" x14ac:dyDescent="0.25"/>
  <cols>
    <col min="1" max="1" width="25.77734375" customWidth="1"/>
    <col min="2" max="2" width="20.33203125" customWidth="1"/>
    <col min="10" max="12" width="14.77734375" customWidth="1"/>
    <col min="13" max="13" width="13.44140625" customWidth="1"/>
    <col min="18" max="18" width="15" customWidth="1"/>
    <col min="19" max="19" width="16.109375" customWidth="1"/>
  </cols>
  <sheetData>
    <row r="1" spans="1:20" ht="15.75" customHeight="1" x14ac:dyDescent="0.3">
      <c r="A1" s="16"/>
      <c r="B1" s="24" t="s">
        <v>78</v>
      </c>
      <c r="C1" s="16"/>
      <c r="D1" s="16"/>
      <c r="E1" s="23" t="s">
        <v>77</v>
      </c>
      <c r="F1" s="22"/>
      <c r="G1" s="22"/>
      <c r="H1" s="22"/>
      <c r="I1" s="20" t="s">
        <v>76</v>
      </c>
      <c r="J1" s="21">
        <v>2.83</v>
      </c>
      <c r="K1" s="20" t="s">
        <v>75</v>
      </c>
      <c r="L1" s="19" t="s">
        <v>74</v>
      </c>
      <c r="M1" s="18" t="s">
        <v>73</v>
      </c>
      <c r="N1" s="14"/>
      <c r="O1" s="17" t="s">
        <v>72</v>
      </c>
      <c r="P1" s="17" t="b">
        <v>0</v>
      </c>
      <c r="Q1" s="13"/>
      <c r="R1" s="13"/>
      <c r="S1" s="13"/>
      <c r="T1" s="1"/>
    </row>
    <row r="2" spans="1:20" ht="15.75" customHeight="1" x14ac:dyDescent="0.3">
      <c r="A2" s="13"/>
      <c r="B2" s="13"/>
      <c r="C2" s="16"/>
      <c r="D2" s="16"/>
      <c r="E2" s="13"/>
      <c r="F2" s="13"/>
      <c r="G2" s="13"/>
      <c r="H2" s="13"/>
      <c r="I2" s="1"/>
      <c r="J2" s="1"/>
      <c r="K2" s="14"/>
      <c r="L2" s="1"/>
      <c r="M2" s="15" t="s">
        <v>71</v>
      </c>
      <c r="N2" s="14"/>
      <c r="O2" s="13"/>
      <c r="P2" s="13"/>
      <c r="Q2" s="13"/>
      <c r="R2" s="13"/>
      <c r="S2" s="13"/>
      <c r="T2" s="1"/>
    </row>
    <row r="3" spans="1:20" ht="15.75" customHeight="1" x14ac:dyDescent="0.3">
      <c r="A3" s="13"/>
      <c r="B3" s="12" t="s">
        <v>70</v>
      </c>
      <c r="C3" s="12" t="s">
        <v>69</v>
      </c>
      <c r="D3" s="12" t="s">
        <v>68</v>
      </c>
      <c r="E3" s="12" t="s">
        <v>67</v>
      </c>
      <c r="F3" s="12" t="s">
        <v>66</v>
      </c>
      <c r="G3" s="11" t="s">
        <v>65</v>
      </c>
      <c r="H3" s="11" t="s">
        <v>64</v>
      </c>
      <c r="I3" s="11" t="s">
        <v>63</v>
      </c>
      <c r="J3" s="10" t="s">
        <v>62</v>
      </c>
      <c r="K3" s="10" t="s">
        <v>61</v>
      </c>
      <c r="L3" s="10" t="s">
        <v>60</v>
      </c>
      <c r="M3" s="9" t="s">
        <v>59</v>
      </c>
      <c r="N3" s="9" t="s">
        <v>58</v>
      </c>
      <c r="O3" s="9" t="s">
        <v>57</v>
      </c>
      <c r="P3" s="8" t="s">
        <v>56</v>
      </c>
      <c r="Q3" s="8" t="s">
        <v>55</v>
      </c>
      <c r="R3" s="7" t="s">
        <v>54</v>
      </c>
      <c r="S3" s="7" t="s">
        <v>53</v>
      </c>
      <c r="T3" s="1"/>
    </row>
    <row r="4" spans="1:20" ht="15" x14ac:dyDescent="0.25">
      <c r="A4" s="6" t="s">
        <v>52</v>
      </c>
      <c r="B4" s="2" t="s">
        <v>50</v>
      </c>
      <c r="C4" s="2">
        <f>S4*0.00283</f>
        <v>422.96401750000001</v>
      </c>
      <c r="D4" s="3">
        <f>[2]INPUTS!O6</f>
        <v>38624.400000000001</v>
      </c>
      <c r="E4" s="3">
        <f>[2]INPUTS!P6</f>
        <v>1037.8</v>
      </c>
      <c r="F4" s="3">
        <f>[2]INPUTS!Q6</f>
        <v>1658.1</v>
      </c>
      <c r="G4" s="3">
        <f>[2]INPUTS!O6</f>
        <v>38624.400000000001</v>
      </c>
      <c r="H4" s="3">
        <f>[2]INPUTS!P7</f>
        <v>1220.8</v>
      </c>
      <c r="I4" s="3">
        <f>[2]INPUTS!Q7</f>
        <v>1488.4</v>
      </c>
      <c r="J4" s="3">
        <f>[2]INPUTS!O6</f>
        <v>38624.400000000001</v>
      </c>
      <c r="K4" s="3">
        <f>[1]GEOMETRY_PROCESSING!F7</f>
        <v>1141.5279380268596</v>
      </c>
      <c r="L4" s="3">
        <f>[1]GEOMETRY_PROCESSING!G7</f>
        <v>1391.7514604842547</v>
      </c>
      <c r="M4" s="3">
        <f>[2]INPUTS!O6</f>
        <v>38624.400000000001</v>
      </c>
      <c r="N4" s="3">
        <f>[1]GEOMETRY_PROCESSING!F6</f>
        <v>971.48179193981059</v>
      </c>
      <c r="O4" s="3">
        <f>[1]GEOMETRY_PROCESSING!G6</f>
        <v>1552.1429554975912</v>
      </c>
      <c r="P4" s="3">
        <v>5</v>
      </c>
      <c r="Q4" s="3">
        <f>P4</f>
        <v>5</v>
      </c>
      <c r="R4" s="2">
        <v>29891.45</v>
      </c>
      <c r="S4" s="2">
        <f>R4*P4</f>
        <v>149457.25</v>
      </c>
      <c r="T4" s="1"/>
    </row>
    <row r="5" spans="1:20" ht="15" x14ac:dyDescent="0.25">
      <c r="A5" s="5"/>
      <c r="B5" s="2" t="s">
        <v>49</v>
      </c>
      <c r="C5" s="2">
        <f>S5*0.00283</f>
        <v>135.12740600000001</v>
      </c>
      <c r="D5" s="3">
        <f>[2]INPUTS!O7</f>
        <v>38624.400000000001</v>
      </c>
      <c r="E5" s="3">
        <f>[2]INPUTS!P7</f>
        <v>1220.8</v>
      </c>
      <c r="F5" s="3">
        <f>[2]INPUTS!Q7</f>
        <v>1488.4</v>
      </c>
      <c r="G5" s="3">
        <f>[2]INPUTS!O7</f>
        <v>38624.400000000001</v>
      </c>
      <c r="H5" s="3">
        <f>[2]INPUTS!P8</f>
        <v>1278.7</v>
      </c>
      <c r="I5" s="3">
        <f>[2]INPUTS!Q8</f>
        <v>1434.6</v>
      </c>
      <c r="J5" s="3">
        <f>[2]INPUTS!O7</f>
        <v>38624.400000000001</v>
      </c>
      <c r="K5" s="3">
        <f>[1]GEOMETRY_PROCESSING!F8</f>
        <v>1195.5274236060093</v>
      </c>
      <c r="L5" s="3">
        <f>[1]GEOMETRY_PROCESSING!G8</f>
        <v>1341.2869648120595</v>
      </c>
      <c r="M5" s="3">
        <f>[2]INPUTS!O7</f>
        <v>38624.400000000001</v>
      </c>
      <c r="N5" s="3">
        <f>[1]GEOMETRY_PROCESSING!F7</f>
        <v>1141.5279380268596</v>
      </c>
      <c r="O5" s="3">
        <f>[1]GEOMETRY_PROCESSING!G7</f>
        <v>1391.7514604842547</v>
      </c>
      <c r="P5" s="3">
        <v>5</v>
      </c>
      <c r="Q5" s="3">
        <f>P5</f>
        <v>5</v>
      </c>
      <c r="R5" s="2">
        <v>9549.64</v>
      </c>
      <c r="S5" s="2">
        <f>R5*P5</f>
        <v>47748.2</v>
      </c>
      <c r="T5" s="1"/>
    </row>
    <row r="6" spans="1:20" ht="15" x14ac:dyDescent="0.25">
      <c r="A6" s="5"/>
      <c r="B6" s="2" t="s">
        <v>48</v>
      </c>
      <c r="C6" s="2">
        <f>S6*0.00283</f>
        <v>311.99228875</v>
      </c>
      <c r="D6" s="3">
        <f>[2]INPUTS!O8</f>
        <v>38624.400000000001</v>
      </c>
      <c r="E6" s="3">
        <f>[2]INPUTS!P8</f>
        <v>1278.7</v>
      </c>
      <c r="F6" s="3">
        <f>[2]INPUTS!Q8</f>
        <v>1434.6</v>
      </c>
      <c r="G6" s="3">
        <f>[2]INPUTS!O8</f>
        <v>38624.400000000001</v>
      </c>
      <c r="H6" s="3">
        <f>[2]INPUTS!P9</f>
        <v>1402.9</v>
      </c>
      <c r="I6" s="3">
        <f>[2]INPUTS!Q9</f>
        <v>1300.5999999999999</v>
      </c>
      <c r="J6" s="3">
        <f>[2]INPUTS!O8</f>
        <v>38624.400000000001</v>
      </c>
      <c r="K6" s="3">
        <f>[1]GEOMETRY_PROCESSING!F9</f>
        <v>1311.2326552809975</v>
      </c>
      <c r="L6" s="3">
        <f>[1]GEOMETRY_PROCESSING!G9</f>
        <v>1215.6170728194918</v>
      </c>
      <c r="M6" s="3">
        <f>[2]INPUTS!O8</f>
        <v>38624.400000000001</v>
      </c>
      <c r="N6" s="3">
        <f>[1]GEOMETRY_PROCESSING!F8</f>
        <v>1195.5274236060093</v>
      </c>
      <c r="O6" s="3">
        <f>[1]GEOMETRY_PROCESSING!G8</f>
        <v>1341.2869648120595</v>
      </c>
      <c r="P6" s="3">
        <v>5</v>
      </c>
      <c r="Q6" s="3">
        <f>P6</f>
        <v>5</v>
      </c>
      <c r="R6" s="2">
        <v>22048.924999999999</v>
      </c>
      <c r="S6" s="2">
        <f>R6*P6</f>
        <v>110244.625</v>
      </c>
      <c r="T6" s="1"/>
    </row>
    <row r="7" spans="1:20" ht="15" x14ac:dyDescent="0.25">
      <c r="A7" s="5"/>
      <c r="B7" s="2" t="s">
        <v>47</v>
      </c>
      <c r="C7" s="2">
        <f>S7*0.00283</f>
        <v>243.6665375</v>
      </c>
      <c r="D7" s="3">
        <f>[2]INPUTS!O9</f>
        <v>38624.400000000001</v>
      </c>
      <c r="E7" s="3">
        <f>[2]INPUTS!P9</f>
        <v>1402.9</v>
      </c>
      <c r="F7" s="3">
        <f>[2]INPUTS!Q9</f>
        <v>1300.5999999999999</v>
      </c>
      <c r="G7" s="3">
        <f>[2]INPUTS!O9</f>
        <v>38624.400000000001</v>
      </c>
      <c r="H7" s="3">
        <f>[2]INPUTS!P10</f>
        <v>1489.7</v>
      </c>
      <c r="I7" s="3">
        <f>[2]INPUTS!Q10</f>
        <v>1187.3</v>
      </c>
      <c r="J7" s="3">
        <f>[2]INPUTS!O9</f>
        <v>38624.400000000001</v>
      </c>
      <c r="K7" s="3">
        <f>[1]GEOMETRY_PROCESSING!F10</f>
        <v>1391.9488026884201</v>
      </c>
      <c r="L7" s="3">
        <f>[1]GEOMETRY_PROCESSING!G10</f>
        <v>1109.3916986184875</v>
      </c>
      <c r="M7" s="3">
        <f>[2]INPUTS!O9</f>
        <v>38624.400000000001</v>
      </c>
      <c r="N7" s="3">
        <f>[1]GEOMETRY_PROCESSING!F9</f>
        <v>1311.2326552809975</v>
      </c>
      <c r="O7" s="3">
        <f>[1]GEOMETRY_PROCESSING!G9</f>
        <v>1215.6170728194918</v>
      </c>
      <c r="P7" s="3">
        <v>5</v>
      </c>
      <c r="Q7" s="3">
        <f>P7</f>
        <v>5</v>
      </c>
      <c r="R7" s="2">
        <v>17220.25</v>
      </c>
      <c r="S7" s="2">
        <f>R7*P7</f>
        <v>86101.25</v>
      </c>
      <c r="T7" s="1"/>
    </row>
    <row r="8" spans="1:20" ht="15" x14ac:dyDescent="0.25">
      <c r="A8" s="5"/>
      <c r="B8" s="2" t="s">
        <v>46</v>
      </c>
      <c r="C8" s="2">
        <f>S8*0.00283</f>
        <v>256.83707449999997</v>
      </c>
      <c r="D8" s="3">
        <f>[2]INPUTS!O10</f>
        <v>38624.400000000001</v>
      </c>
      <c r="E8" s="3">
        <f>[2]INPUTS!P10</f>
        <v>1489.7</v>
      </c>
      <c r="F8" s="3">
        <f>[2]INPUTS!Q10</f>
        <v>1187.3</v>
      </c>
      <c r="G8" s="3">
        <f>[2]INPUTS!O10</f>
        <v>38624.400000000001</v>
      </c>
      <c r="H8" s="3">
        <f>[2]INPUTS!P11</f>
        <v>1571.7</v>
      </c>
      <c r="I8" s="3">
        <f>[2]INPUTS!Q11</f>
        <v>1061.0999999999999</v>
      </c>
      <c r="J8" s="3">
        <f>[2]INPUTS!O10</f>
        <v>38624.400000000001</v>
      </c>
      <c r="K8" s="3">
        <f>[1]GEOMETRY_PROCESSING!F11</f>
        <v>1468.1001058371221</v>
      </c>
      <c r="L8" s="3">
        <f>[1]GEOMETRY_PROCESSING!G11</f>
        <v>991.15672348652413</v>
      </c>
      <c r="M8" s="3">
        <f>[2]INPUTS!O10</f>
        <v>38624.400000000001</v>
      </c>
      <c r="N8" s="3">
        <f>[1]GEOMETRY_PROCESSING!F10</f>
        <v>1391.9488026884201</v>
      </c>
      <c r="O8" s="3">
        <f>[1]GEOMETRY_PROCESSING!G10</f>
        <v>1109.3916986184875</v>
      </c>
      <c r="P8" s="3">
        <v>5</v>
      </c>
      <c r="Q8" s="3">
        <f>P8</f>
        <v>5</v>
      </c>
      <c r="R8" s="2">
        <v>18151.03</v>
      </c>
      <c r="S8" s="2">
        <f>R8*P8</f>
        <v>90755.15</v>
      </c>
      <c r="T8" s="1"/>
    </row>
    <row r="9" spans="1:20" ht="15" x14ac:dyDescent="0.25">
      <c r="A9" s="5"/>
      <c r="B9" s="2" t="s">
        <v>45</v>
      </c>
      <c r="C9" s="2">
        <f>S9*0.00283</f>
        <v>215.18895499999999</v>
      </c>
      <c r="D9" s="3">
        <f>[2]INPUTS!O11</f>
        <v>38624.400000000001</v>
      </c>
      <c r="E9" s="3">
        <f>[2]INPUTS!P11</f>
        <v>1571.7</v>
      </c>
      <c r="F9" s="3">
        <f>[2]INPUTS!Q11</f>
        <v>1061.0999999999999</v>
      </c>
      <c r="G9" s="3">
        <f>[2]INPUTS!O11</f>
        <v>38624.400000000001</v>
      </c>
      <c r="H9" s="3">
        <f>[2]INPUTS!P12</f>
        <v>1632.6</v>
      </c>
      <c r="I9" s="3">
        <f>[2]INPUTS!Q12</f>
        <v>950.7</v>
      </c>
      <c r="J9" s="3">
        <f>[2]INPUTS!O11</f>
        <v>38624.400000000001</v>
      </c>
      <c r="K9" s="3">
        <f>[1]GEOMETRY_PROCESSING!F12</f>
        <v>1524.5801532266989</v>
      </c>
      <c r="L9" s="3">
        <f>[1]GEOMETRY_PROCESSING!G12</f>
        <v>887.79759382128066</v>
      </c>
      <c r="M9" s="3">
        <f>[2]INPUTS!O11</f>
        <v>38624.400000000001</v>
      </c>
      <c r="N9" s="3">
        <f>[1]GEOMETRY_PROCESSING!F11</f>
        <v>1468.1001058371221</v>
      </c>
      <c r="O9" s="3">
        <f>[1]GEOMETRY_PROCESSING!G11</f>
        <v>991.15672348652413</v>
      </c>
      <c r="P9" s="3">
        <v>5</v>
      </c>
      <c r="Q9" s="3">
        <f>P9</f>
        <v>5</v>
      </c>
      <c r="R9" s="2">
        <v>15207.7</v>
      </c>
      <c r="S9" s="2">
        <f>R9*P9</f>
        <v>76038.5</v>
      </c>
      <c r="T9" s="1"/>
    </row>
    <row r="10" spans="1:20" ht="15" x14ac:dyDescent="0.25">
      <c r="A10" s="5"/>
      <c r="B10" s="2" t="s">
        <v>44</v>
      </c>
      <c r="C10" s="2">
        <f>S10*0.00283</f>
        <v>244.51192924999998</v>
      </c>
      <c r="D10" s="3">
        <f>[2]INPUTS!O12</f>
        <v>38624.400000000001</v>
      </c>
      <c r="E10" s="3">
        <f>[2]INPUTS!P12</f>
        <v>1632.6</v>
      </c>
      <c r="F10" s="3">
        <f>[2]INPUTS!Q12</f>
        <v>950.7</v>
      </c>
      <c r="G10" s="3">
        <f>[2]INPUTS!O12</f>
        <v>38624.400000000001</v>
      </c>
      <c r="H10" s="3">
        <f>[2]INPUTS!P13</f>
        <v>1692.2</v>
      </c>
      <c r="I10" s="3">
        <f>[2]INPUTS!Q13</f>
        <v>820.3</v>
      </c>
      <c r="J10" s="3">
        <f>[2]INPUTS!O12</f>
        <v>38624.400000000001</v>
      </c>
      <c r="K10" s="3">
        <f>[1]GEOMETRY_PROCESSING!F13</f>
        <v>1579.7190460946467</v>
      </c>
      <c r="L10" s="3">
        <f>[1]GEOMETRY_PROCESSING!G13</f>
        <v>765.77445544937871</v>
      </c>
      <c r="M10" s="3">
        <f>[2]INPUTS!O12</f>
        <v>38624.400000000001</v>
      </c>
      <c r="N10" s="3">
        <f>[1]GEOMETRY_PROCESSING!F12</f>
        <v>1524.5801532266989</v>
      </c>
      <c r="O10" s="3">
        <f>[1]GEOMETRY_PROCESSING!G12</f>
        <v>887.79759382128066</v>
      </c>
      <c r="P10" s="3">
        <v>5</v>
      </c>
      <c r="Q10" s="3">
        <f>P10</f>
        <v>5</v>
      </c>
      <c r="R10" s="2">
        <v>17279.994999999999</v>
      </c>
      <c r="S10" s="2">
        <f>R10*P10</f>
        <v>86399.974999999991</v>
      </c>
      <c r="T10" s="1"/>
    </row>
    <row r="11" spans="1:20" ht="15" x14ac:dyDescent="0.25">
      <c r="A11" s="5"/>
      <c r="B11" s="2" t="s">
        <v>43</v>
      </c>
      <c r="C11" s="2">
        <f>S11*0.00283</f>
        <v>267.73023975000001</v>
      </c>
      <c r="D11" s="3">
        <f>[2]INPUTS!O13</f>
        <v>38624.400000000001</v>
      </c>
      <c r="E11" s="3">
        <f>[2]INPUTS!P13</f>
        <v>1692.2</v>
      </c>
      <c r="F11" s="3">
        <f>[2]INPUTS!Q13</f>
        <v>820.3</v>
      </c>
      <c r="G11" s="3">
        <f>[2]INPUTS!O13</f>
        <v>38624.400000000001</v>
      </c>
      <c r="H11" s="3">
        <f>[2]INPUTS!P14</f>
        <v>1744.9</v>
      </c>
      <c r="I11" s="3">
        <f>[2]INPUTS!Q14</f>
        <v>672.3</v>
      </c>
      <c r="J11" s="3">
        <f>[2]INPUTS!O13</f>
        <v>38624.400000000001</v>
      </c>
      <c r="K11" s="3">
        <f>[1]GEOMETRY_PROCESSING!F14</f>
        <v>1628.2583517479252</v>
      </c>
      <c r="L11" s="3">
        <f>[1]GEOMETRY_PROCESSING!G14</f>
        <v>627.35863939488229</v>
      </c>
      <c r="M11" s="3">
        <f>[2]INPUTS!O13</f>
        <v>38624.400000000001</v>
      </c>
      <c r="N11" s="3">
        <f>[1]GEOMETRY_PROCESSING!F13</f>
        <v>1579.7190460946467</v>
      </c>
      <c r="O11" s="3">
        <f>[1]GEOMETRY_PROCESSING!G13</f>
        <v>765.77445544937871</v>
      </c>
      <c r="P11" s="3">
        <v>5</v>
      </c>
      <c r="Q11" s="3">
        <f>P11</f>
        <v>5</v>
      </c>
      <c r="R11" s="2">
        <v>18920.865000000002</v>
      </c>
      <c r="S11" s="2">
        <f>R11*P11</f>
        <v>94604.325000000012</v>
      </c>
      <c r="T11" s="1"/>
    </row>
    <row r="12" spans="1:20" ht="15" x14ac:dyDescent="0.25">
      <c r="A12" s="5"/>
      <c r="B12" s="2" t="s">
        <v>42</v>
      </c>
      <c r="C12" s="2">
        <f>S12*0.00283</f>
        <v>275.97282700000005</v>
      </c>
      <c r="D12" s="3">
        <f>[2]INPUTS!O14</f>
        <v>38624.400000000001</v>
      </c>
      <c r="E12" s="3">
        <f>[2]INPUTS!P14</f>
        <v>1744.9</v>
      </c>
      <c r="F12" s="3">
        <f>[2]INPUTS!Q14</f>
        <v>672.3</v>
      </c>
      <c r="G12" s="3">
        <f>[2]INPUTS!O14</f>
        <v>38624.400000000001</v>
      </c>
      <c r="H12" s="3">
        <f>[2]INPUTS!P15</f>
        <v>1784.1</v>
      </c>
      <c r="I12" s="3">
        <f>[2]INPUTS!Q15</f>
        <v>515</v>
      </c>
      <c r="J12" s="3">
        <f>[2]INPUTS!O14</f>
        <v>38624.400000000001</v>
      </c>
      <c r="K12" s="3">
        <f>[1]GEOMETRY_PROCESSING!F15</f>
        <v>1664.0034307042376</v>
      </c>
      <c r="L12" s="3">
        <f>[1]GEOMETRY_PROCESSING!G15</f>
        <v>480.33281027559133</v>
      </c>
      <c r="M12" s="3">
        <f>[2]INPUTS!O14</f>
        <v>38624.400000000001</v>
      </c>
      <c r="N12" s="3">
        <f>[1]GEOMETRY_PROCESSING!F14</f>
        <v>1628.2583517479252</v>
      </c>
      <c r="O12" s="3">
        <f>[1]GEOMETRY_PROCESSING!G14</f>
        <v>627.35863939488229</v>
      </c>
      <c r="P12" s="3">
        <v>5</v>
      </c>
      <c r="Q12" s="3">
        <f>P12</f>
        <v>5</v>
      </c>
      <c r="R12" s="2">
        <v>19503.38</v>
      </c>
      <c r="S12" s="2">
        <f>R12*P12</f>
        <v>97516.900000000009</v>
      </c>
      <c r="T12" s="1"/>
    </row>
    <row r="13" spans="1:20" ht="15" x14ac:dyDescent="0.25">
      <c r="A13" s="5"/>
      <c r="B13" s="2" t="s">
        <v>41</v>
      </c>
      <c r="C13" s="2">
        <f>S13*0.00283</f>
        <v>276.15323950000004</v>
      </c>
      <c r="D13" s="3">
        <f>[2]INPUTS!O15</f>
        <v>38624.400000000001</v>
      </c>
      <c r="E13" s="3">
        <f>[2]INPUTS!P15</f>
        <v>1784.1</v>
      </c>
      <c r="F13" s="3">
        <f>[2]INPUTS!Q15</f>
        <v>515</v>
      </c>
      <c r="G13" s="3">
        <f>[2]INPUTS!O15</f>
        <v>38624.400000000001</v>
      </c>
      <c r="H13" s="3">
        <f>[2]INPUTS!P16</f>
        <v>1808.6</v>
      </c>
      <c r="I13" s="3">
        <f>[2]INPUTS!Q16</f>
        <v>354.5</v>
      </c>
      <c r="J13" s="3">
        <f>[2]INPUTS!O15</f>
        <v>38624.400000000001</v>
      </c>
      <c r="K13" s="3">
        <f>[1]GEOMETRY_PROCESSING!F16</f>
        <v>1685.934149385776</v>
      </c>
      <c r="L13" s="3">
        <f>[1]GEOMETRY_PROCESSING!G16</f>
        <v>330.45651661907419</v>
      </c>
      <c r="M13" s="3">
        <f>[2]INPUTS!O15</f>
        <v>38624.400000000001</v>
      </c>
      <c r="N13" s="3">
        <f>[1]GEOMETRY_PROCESSING!F15</f>
        <v>1664.0034307042376</v>
      </c>
      <c r="O13" s="3">
        <f>[1]GEOMETRY_PROCESSING!G15</f>
        <v>480.33281027559133</v>
      </c>
      <c r="P13" s="3">
        <v>5</v>
      </c>
      <c r="Q13" s="3">
        <f>P13</f>
        <v>5</v>
      </c>
      <c r="R13" s="2">
        <v>19516.13</v>
      </c>
      <c r="S13" s="2">
        <f>R13*P13</f>
        <v>97580.650000000009</v>
      </c>
      <c r="T13" s="1"/>
    </row>
    <row r="14" spans="1:20" ht="15" x14ac:dyDescent="0.25">
      <c r="A14" s="5"/>
      <c r="B14" s="2" t="s">
        <v>40</v>
      </c>
      <c r="C14" s="2">
        <f>S14*0.00283</f>
        <v>278.64887500000003</v>
      </c>
      <c r="D14" s="3">
        <f>[2]INPUTS!O16</f>
        <v>38624.400000000001</v>
      </c>
      <c r="E14" s="3">
        <f>[2]INPUTS!P16</f>
        <v>1808.6</v>
      </c>
      <c r="F14" s="3">
        <f>[2]INPUTS!Q16</f>
        <v>354.5</v>
      </c>
      <c r="G14" s="3">
        <f>[2]INPUTS!O16</f>
        <v>38624.400000000001</v>
      </c>
      <c r="H14" s="3">
        <f>[2]INPUTS!P17</f>
        <v>1817.1</v>
      </c>
      <c r="I14" s="3">
        <f>[2]INPUTS!Q17</f>
        <v>190.7</v>
      </c>
      <c r="J14" s="3">
        <f>[2]INPUTS!O16</f>
        <v>38624.400000000001</v>
      </c>
      <c r="K14" s="3">
        <f>[1]GEOMETRY_PROCESSING!F17</f>
        <v>1692.782738277491</v>
      </c>
      <c r="L14" s="3">
        <f>[1]GEOMETRY_PROCESSING!G17</f>
        <v>177.6532211708313</v>
      </c>
      <c r="M14" s="3">
        <f>[2]INPUTS!O16</f>
        <v>38624.400000000001</v>
      </c>
      <c r="N14" s="3">
        <f>[1]GEOMETRY_PROCESSING!F16</f>
        <v>1685.934149385776</v>
      </c>
      <c r="O14" s="3">
        <f>[1]GEOMETRY_PROCESSING!G16</f>
        <v>330.45651661907419</v>
      </c>
      <c r="P14" s="3">
        <v>5</v>
      </c>
      <c r="Q14" s="3">
        <f>P14</f>
        <v>5</v>
      </c>
      <c r="R14" s="2">
        <v>19692.5</v>
      </c>
      <c r="S14" s="2">
        <f>R14*P14</f>
        <v>98462.5</v>
      </c>
      <c r="T14" s="1"/>
    </row>
    <row r="15" spans="1:20" ht="15" x14ac:dyDescent="0.25">
      <c r="A15" s="5"/>
      <c r="B15" s="2" t="s">
        <v>39</v>
      </c>
      <c r="C15" s="2">
        <f>S15*0.00283</f>
        <v>237.47251649999998</v>
      </c>
      <c r="D15" s="3">
        <f>[2]INPUTS!O17</f>
        <v>38624.400000000001</v>
      </c>
      <c r="E15" s="3">
        <f>[2]INPUTS!P17</f>
        <v>1817.1</v>
      </c>
      <c r="F15" s="3">
        <f>[2]INPUTS!Q17</f>
        <v>190.7</v>
      </c>
      <c r="G15" s="3">
        <f>[2]INPUTS!O17</f>
        <v>38624.400000000001</v>
      </c>
      <c r="H15" s="3">
        <f>[2]INPUTS!P18</f>
        <v>1809.7</v>
      </c>
      <c r="I15" s="3">
        <f>[2]INPUTS!Q18</f>
        <v>50.8</v>
      </c>
      <c r="J15" s="3">
        <f>[2]INPUTS!O17</f>
        <v>38624.400000000001</v>
      </c>
      <c r="K15" s="3">
        <f>[1]GEOMETRY_PROCESSING!F18</f>
        <v>1684.7492195570326</v>
      </c>
      <c r="L15" s="3">
        <f>[1]GEOMETRY_PROCESSING!G18</f>
        <v>47.292512766479113</v>
      </c>
      <c r="M15" s="3">
        <f>[2]INPUTS!O17</f>
        <v>38624.400000000001</v>
      </c>
      <c r="N15" s="3">
        <f>[1]GEOMETRY_PROCESSING!F17</f>
        <v>1692.782738277491</v>
      </c>
      <c r="O15" s="3">
        <f>[1]GEOMETRY_PROCESSING!G17</f>
        <v>177.6532211708313</v>
      </c>
      <c r="P15" s="3">
        <v>5</v>
      </c>
      <c r="Q15" s="3">
        <f>P15</f>
        <v>5</v>
      </c>
      <c r="R15" s="2">
        <v>16782.509999999998</v>
      </c>
      <c r="S15" s="2">
        <f>R15*P15</f>
        <v>83912.549999999988</v>
      </c>
      <c r="T15" s="1"/>
    </row>
    <row r="16" spans="1:20" ht="15" x14ac:dyDescent="0.25">
      <c r="A16" s="5"/>
      <c r="B16" s="2" t="s">
        <v>38</v>
      </c>
      <c r="C16" s="2">
        <f>S16*0.00283</f>
        <v>254.85352750000001</v>
      </c>
      <c r="D16" s="3">
        <f>[2]INPUTS!O18</f>
        <v>38624.400000000001</v>
      </c>
      <c r="E16" s="3">
        <f>[2]INPUTS!P18</f>
        <v>1809.7</v>
      </c>
      <c r="F16" s="3">
        <f>[2]INPUTS!Q18</f>
        <v>50.8</v>
      </c>
      <c r="G16" s="3">
        <f>[2]INPUTS!O18</f>
        <v>38624.400000000001</v>
      </c>
      <c r="H16" s="3">
        <f>[2]INPUTS!P19</f>
        <v>1787.4</v>
      </c>
      <c r="I16" s="3">
        <f>[2]INPUTS!Q19</f>
        <v>-98.3</v>
      </c>
      <c r="J16" s="3">
        <f>[2]INPUTS!O18</f>
        <v>38624.400000000001</v>
      </c>
      <c r="K16" s="3">
        <f>[1]GEOMETRY_PROCESSING!F19</f>
        <v>1662.5886078409465</v>
      </c>
      <c r="L16" s="3">
        <f>[1]GEOMETRY_PROCESSING!G19</f>
        <v>-91.43586223048284</v>
      </c>
      <c r="M16" s="3">
        <f>[2]INPUTS!O18</f>
        <v>38624.400000000001</v>
      </c>
      <c r="N16" s="3">
        <f>[1]GEOMETRY_PROCESSING!F18</f>
        <v>1684.7492195570326</v>
      </c>
      <c r="O16" s="3">
        <f>[1]GEOMETRY_PROCESSING!G18</f>
        <v>47.292512766479113</v>
      </c>
      <c r="P16" s="3">
        <v>5</v>
      </c>
      <c r="Q16" s="3">
        <f>P16</f>
        <v>5</v>
      </c>
      <c r="R16" s="2">
        <v>18010.849999999999</v>
      </c>
      <c r="S16" s="2">
        <f>R16*P16</f>
        <v>90054.25</v>
      </c>
      <c r="T16" s="1"/>
    </row>
    <row r="17" spans="1:20" ht="15" x14ac:dyDescent="0.25">
      <c r="A17" s="5"/>
      <c r="B17" s="2" t="s">
        <v>37</v>
      </c>
      <c r="C17" s="2">
        <f>S17*0.00283</f>
        <v>229.63645875</v>
      </c>
      <c r="D17" s="3">
        <f>[2]INPUTS!O19</f>
        <v>38624.400000000001</v>
      </c>
      <c r="E17" s="3">
        <f>[2]INPUTS!P19</f>
        <v>1787.4</v>
      </c>
      <c r="F17" s="3">
        <f>[2]INPUTS!Q19</f>
        <v>-98.3</v>
      </c>
      <c r="G17" s="3">
        <f>[2]INPUTS!O19</f>
        <v>38624.400000000001</v>
      </c>
      <c r="H17" s="3">
        <f>[2]INPUTS!P20</f>
        <v>1754.7</v>
      </c>
      <c r="I17" s="3">
        <f>[2]INPUTS!Q20</f>
        <v>-230.5</v>
      </c>
      <c r="J17" s="3">
        <f>[2]INPUTS!O19</f>
        <v>38624.400000000001</v>
      </c>
      <c r="K17" s="3">
        <f>[1]GEOMETRY_PROCESSING!F20</f>
        <v>1630.7647300423334</v>
      </c>
      <c r="L17" s="3">
        <f>[1]GEOMETRY_PROCESSING!G20</f>
        <v>-214.21967873411859</v>
      </c>
      <c r="M17" s="3">
        <f>[2]INPUTS!O19</f>
        <v>38624.400000000001</v>
      </c>
      <c r="N17" s="3">
        <f>[1]GEOMETRY_PROCESSING!F19</f>
        <v>1662.5886078409465</v>
      </c>
      <c r="O17" s="3">
        <f>[1]GEOMETRY_PROCESSING!G19</f>
        <v>-91.43586223048284</v>
      </c>
      <c r="P17" s="3">
        <v>5</v>
      </c>
      <c r="Q17" s="3">
        <f>P17</f>
        <v>5</v>
      </c>
      <c r="R17" s="2">
        <v>16228.725</v>
      </c>
      <c r="S17" s="2">
        <f>R17*P17</f>
        <v>81143.625</v>
      </c>
      <c r="T17" s="1"/>
    </row>
    <row r="18" spans="1:20" ht="15" x14ac:dyDescent="0.25">
      <c r="A18" s="5"/>
      <c r="B18" s="2" t="s">
        <v>36</v>
      </c>
      <c r="C18" s="2">
        <f>S18*0.00283</f>
        <v>264.10005725000002</v>
      </c>
      <c r="D18" s="3">
        <f>[2]INPUTS!O20</f>
        <v>38624.400000000001</v>
      </c>
      <c r="E18" s="3">
        <f>[2]INPUTS!P20</f>
        <v>1754.7</v>
      </c>
      <c r="F18" s="3">
        <f>[2]INPUTS!Q20</f>
        <v>-230.5</v>
      </c>
      <c r="G18" s="3">
        <f>[2]INPUTS!O20</f>
        <v>38624.400000000001</v>
      </c>
      <c r="H18" s="3">
        <f>[2]INPUTS!P21</f>
        <v>1705</v>
      </c>
      <c r="I18" s="3">
        <f>[2]INPUTS!Q21</f>
        <v>-379.1</v>
      </c>
      <c r="J18" s="3">
        <f>[2]INPUTS!O20</f>
        <v>38624.400000000001</v>
      </c>
      <c r="K18" s="3">
        <f>[1]GEOMETRY_PROCESSING!F21</f>
        <v>1582.9798177515424</v>
      </c>
      <c r="L18" s="3">
        <f>[1]GEOMETRY_PROCESSING!G21</f>
        <v>-351.96929554815819</v>
      </c>
      <c r="M18" s="3">
        <f>[2]INPUTS!O20</f>
        <v>38624.400000000001</v>
      </c>
      <c r="N18" s="3">
        <f>[1]GEOMETRY_PROCESSING!F20</f>
        <v>1630.7647300423334</v>
      </c>
      <c r="O18" s="3">
        <f>[1]GEOMETRY_PROCESSING!G20</f>
        <v>-214.21967873411859</v>
      </c>
      <c r="P18" s="3">
        <v>5</v>
      </c>
      <c r="Q18" s="3">
        <f>P18</f>
        <v>5</v>
      </c>
      <c r="R18" s="2">
        <v>18664.314999999999</v>
      </c>
      <c r="S18" s="2">
        <f>R18*P18</f>
        <v>93321.574999999997</v>
      </c>
      <c r="T18" s="1"/>
    </row>
    <row r="19" spans="1:20" ht="15" x14ac:dyDescent="0.25">
      <c r="A19" s="5"/>
      <c r="B19" s="2" t="s">
        <v>35</v>
      </c>
      <c r="C19" s="2">
        <f>S19*0.00283</f>
        <v>237.76457250000001</v>
      </c>
      <c r="D19" s="3">
        <f>[2]INPUTS!O21</f>
        <v>38624.400000000001</v>
      </c>
      <c r="E19" s="3">
        <f>[2]INPUTS!P21</f>
        <v>1705</v>
      </c>
      <c r="F19" s="3">
        <f>[2]INPUTS!Q21</f>
        <v>-379.1</v>
      </c>
      <c r="G19" s="3">
        <f>[2]INPUTS!O21</f>
        <v>38624.400000000001</v>
      </c>
      <c r="H19" s="3">
        <f>[2]INPUTS!P22</f>
        <v>1648.2</v>
      </c>
      <c r="I19" s="3">
        <f>[2]INPUTS!Q22</f>
        <v>-508.5</v>
      </c>
      <c r="J19" s="3">
        <f>[2]INPUTS!O21</f>
        <v>38624.400000000001</v>
      </c>
      <c r="K19" s="3">
        <f>[1]GEOMETRY_PROCESSING!F22</f>
        <v>1528.7553922730899</v>
      </c>
      <c r="L19" s="3">
        <f>[1]GEOMETRY_PROCESSING!G22</f>
        <v>-471.6491426834524</v>
      </c>
      <c r="M19" s="3">
        <f>[2]INPUTS!O21</f>
        <v>38624.400000000001</v>
      </c>
      <c r="N19" s="3">
        <f>[1]GEOMETRY_PROCESSING!F21</f>
        <v>1582.9798177515424</v>
      </c>
      <c r="O19" s="3">
        <f>[1]GEOMETRY_PROCESSING!G21</f>
        <v>-351.96929554815819</v>
      </c>
      <c r="P19" s="3">
        <v>5</v>
      </c>
      <c r="Q19" s="3">
        <f>P19</f>
        <v>5</v>
      </c>
      <c r="R19" s="2">
        <v>16803.150000000001</v>
      </c>
      <c r="S19" s="2">
        <f>R19*P19</f>
        <v>84015.75</v>
      </c>
      <c r="T19" s="1"/>
    </row>
    <row r="20" spans="1:20" ht="15" x14ac:dyDescent="0.25">
      <c r="A20" s="5"/>
      <c r="B20" s="2" t="s">
        <v>34</v>
      </c>
      <c r="C20" s="2">
        <f>S20*0.00283</f>
        <v>228.00758150000001</v>
      </c>
      <c r="D20" s="3">
        <f>[2]INPUTS!O22</f>
        <v>38624.400000000001</v>
      </c>
      <c r="E20" s="3">
        <f>[2]INPUTS!P22</f>
        <v>1648.2</v>
      </c>
      <c r="F20" s="3">
        <f>[2]INPUTS!Q22</f>
        <v>-508.5</v>
      </c>
      <c r="G20" s="3">
        <f>[2]INPUTS!O22</f>
        <v>38624.400000000001</v>
      </c>
      <c r="H20" s="3">
        <f>[2]INPUTS!P23</f>
        <v>1594.2</v>
      </c>
      <c r="I20" s="3">
        <f>[2]INPUTS!Q23</f>
        <v>-631.4</v>
      </c>
      <c r="J20" s="3">
        <f>[2]INPUTS!O22</f>
        <v>38624.400000000001</v>
      </c>
      <c r="K20" s="3">
        <f>[1]GEOMETRY_PROCESSING!F23</f>
        <v>1477.983219010149</v>
      </c>
      <c r="L20" s="3">
        <f>[1]GEOMETRY_PROCESSING!G23</f>
        <v>-585.37109803224689</v>
      </c>
      <c r="M20" s="3">
        <f>[2]INPUTS!O22</f>
        <v>38624.400000000001</v>
      </c>
      <c r="N20" s="3">
        <f>[1]GEOMETRY_PROCESSING!F22</f>
        <v>1528.7553922730899</v>
      </c>
      <c r="O20" s="3">
        <f>[1]GEOMETRY_PROCESSING!G22</f>
        <v>-471.6491426834524</v>
      </c>
      <c r="P20" s="3">
        <v>5</v>
      </c>
      <c r="Q20" s="3">
        <f>P20</f>
        <v>5</v>
      </c>
      <c r="R20" s="2">
        <v>16113.61</v>
      </c>
      <c r="S20" s="2">
        <f>R20*P20</f>
        <v>80568.05</v>
      </c>
      <c r="T20" s="1"/>
    </row>
    <row r="21" spans="1:20" ht="15" x14ac:dyDescent="0.25">
      <c r="A21" s="5"/>
      <c r="B21" s="2" t="s">
        <v>33</v>
      </c>
      <c r="C21" s="2">
        <f>S21*0.00283</f>
        <v>211.88817035000002</v>
      </c>
      <c r="D21" s="3">
        <f>[2]INPUTS!O6</f>
        <v>38624.400000000001</v>
      </c>
      <c r="E21" s="3">
        <f>[2]INPUTS!P6</f>
        <v>1037.8</v>
      </c>
      <c r="F21" s="3">
        <f>[2]INPUTS!Q6</f>
        <v>1658.1</v>
      </c>
      <c r="G21" s="3">
        <f>[2]INPUTS!O7</f>
        <v>38624.400000000001</v>
      </c>
      <c r="H21" s="3">
        <f>[2]INPUTS!P7</f>
        <v>1220.8</v>
      </c>
      <c r="I21" s="3">
        <f>[2]INPUTS!Q7</f>
        <v>1488.4</v>
      </c>
      <c r="J21" s="3">
        <f>[2]INPUTS!O7-60</f>
        <v>38564.400000000001</v>
      </c>
      <c r="K21" s="3">
        <f>[2]INPUTS!P7</f>
        <v>1220.8</v>
      </c>
      <c r="L21" s="3">
        <f>[2]INPUTS!Q7</f>
        <v>1488.4</v>
      </c>
      <c r="M21" s="3">
        <f>[2]INPUTS!O7-60</f>
        <v>38564.400000000001</v>
      </c>
      <c r="N21" s="3">
        <f>[2]INPUTS!P6</f>
        <v>1037.8</v>
      </c>
      <c r="O21" s="3">
        <f>[2]INPUTS!Q6</f>
        <v>1658.1</v>
      </c>
      <c r="P21" s="3">
        <v>5</v>
      </c>
      <c r="Q21" s="3">
        <f>P21</f>
        <v>5</v>
      </c>
      <c r="R21" s="2">
        <v>14974.429</v>
      </c>
      <c r="S21" s="2">
        <f>R21*P21</f>
        <v>74872.145000000004</v>
      </c>
      <c r="T21" s="1"/>
    </row>
    <row r="22" spans="1:20" ht="15" x14ac:dyDescent="0.25">
      <c r="A22" s="5"/>
      <c r="B22" s="2" t="s">
        <v>32</v>
      </c>
      <c r="C22" s="2">
        <f>S22*0.00283</f>
        <v>67.102427135850007</v>
      </c>
      <c r="D22" s="3">
        <f>[2]INPUTS!O7</f>
        <v>38624.400000000001</v>
      </c>
      <c r="E22" s="3">
        <f>[2]INPUTS!P7</f>
        <v>1220.8</v>
      </c>
      <c r="F22" s="3">
        <f>[2]INPUTS!Q7</f>
        <v>1488.4</v>
      </c>
      <c r="G22" s="3">
        <f>[2]INPUTS!O8</f>
        <v>38624.400000000001</v>
      </c>
      <c r="H22" s="3">
        <f>[2]INPUTS!P8</f>
        <v>1278.7</v>
      </c>
      <c r="I22" s="3">
        <f>[2]INPUTS!Q8</f>
        <v>1434.6</v>
      </c>
      <c r="J22" s="3">
        <f>[2]INPUTS!O8-60</f>
        <v>38564.400000000001</v>
      </c>
      <c r="K22" s="3">
        <f>[2]INPUTS!P8</f>
        <v>1278.7</v>
      </c>
      <c r="L22" s="3">
        <f>[2]INPUTS!Q8</f>
        <v>1434.6</v>
      </c>
      <c r="M22" s="3">
        <f>[2]INPUTS!O8-60</f>
        <v>38564.400000000001</v>
      </c>
      <c r="N22" s="3">
        <f>[2]INPUTS!P7</f>
        <v>1220.8</v>
      </c>
      <c r="O22" s="3">
        <f>[2]INPUTS!Q7</f>
        <v>1488.4</v>
      </c>
      <c r="P22" s="3">
        <v>5</v>
      </c>
      <c r="Q22" s="3">
        <f>P22</f>
        <v>5</v>
      </c>
      <c r="R22" s="2">
        <v>4742.2209990000001</v>
      </c>
      <c r="S22" s="2">
        <f>R22*P22</f>
        <v>23711.104995000002</v>
      </c>
      <c r="T22" s="1"/>
    </row>
    <row r="23" spans="1:20" ht="15" x14ac:dyDescent="0.25">
      <c r="A23" s="5"/>
      <c r="B23" s="2" t="s">
        <v>31</v>
      </c>
      <c r="C23" s="2">
        <f>S23*0.00283</f>
        <v>155.11776006049999</v>
      </c>
      <c r="D23" s="3">
        <f>[2]INPUTS!O8</f>
        <v>38624.400000000001</v>
      </c>
      <c r="E23" s="3">
        <f>[2]INPUTS!P8</f>
        <v>1278.7</v>
      </c>
      <c r="F23" s="3">
        <f>[2]INPUTS!Q8</f>
        <v>1434.6</v>
      </c>
      <c r="G23" s="3">
        <f>[2]INPUTS!O9</f>
        <v>38624.400000000001</v>
      </c>
      <c r="H23" s="3">
        <f>[2]INPUTS!P9</f>
        <v>1402.9</v>
      </c>
      <c r="I23" s="3">
        <f>[2]INPUTS!Q9</f>
        <v>1300.5999999999999</v>
      </c>
      <c r="J23" s="3">
        <f>[2]INPUTS!O9-60</f>
        <v>38564.400000000001</v>
      </c>
      <c r="K23" s="3">
        <f>[2]INPUTS!P9</f>
        <v>1402.9</v>
      </c>
      <c r="L23" s="3">
        <f>[2]INPUTS!Q9</f>
        <v>1300.5999999999999</v>
      </c>
      <c r="M23" s="3">
        <f>[2]INPUTS!O9-60</f>
        <v>38564.400000000001</v>
      </c>
      <c r="N23" s="3">
        <f>[2]INPUTS!P8</f>
        <v>1278.7</v>
      </c>
      <c r="O23" s="3">
        <f>[2]INPUTS!Q8</f>
        <v>1434.6</v>
      </c>
      <c r="P23" s="3">
        <v>5</v>
      </c>
      <c r="Q23" s="3">
        <f>P23</f>
        <v>5</v>
      </c>
      <c r="R23" s="2">
        <v>10962.38587</v>
      </c>
      <c r="S23" s="2">
        <f>R23*P23</f>
        <v>54811.929349999999</v>
      </c>
      <c r="T23" s="1"/>
    </row>
    <row r="24" spans="1:20" ht="15" x14ac:dyDescent="0.25">
      <c r="A24" s="5"/>
      <c r="B24" s="2" t="s">
        <v>30</v>
      </c>
      <c r="C24" s="2">
        <f>S24*0.00283</f>
        <v>121.17561996409999</v>
      </c>
      <c r="D24" s="3">
        <f>[2]INPUTS!O9</f>
        <v>38624.400000000001</v>
      </c>
      <c r="E24" s="3">
        <f>[2]INPUTS!P9</f>
        <v>1402.9</v>
      </c>
      <c r="F24" s="3">
        <f>[2]INPUTS!Q9</f>
        <v>1300.5999999999999</v>
      </c>
      <c r="G24" s="3">
        <f>[2]INPUTS!O10</f>
        <v>38624.400000000001</v>
      </c>
      <c r="H24" s="3">
        <f>[2]INPUTS!P10</f>
        <v>1489.7</v>
      </c>
      <c r="I24" s="3">
        <f>[2]INPUTS!Q10</f>
        <v>1187.3</v>
      </c>
      <c r="J24" s="3">
        <f>[2]INPUTS!O10-60</f>
        <v>38564.400000000001</v>
      </c>
      <c r="K24" s="3">
        <f>[2]INPUTS!P10</f>
        <v>1489.7</v>
      </c>
      <c r="L24" s="3">
        <f>[2]INPUTS!Q10</f>
        <v>1187.3</v>
      </c>
      <c r="M24" s="3">
        <f>[2]INPUTS!O10-60</f>
        <v>38564.400000000001</v>
      </c>
      <c r="N24" s="3">
        <f>[2]INPUTS!P9</f>
        <v>1402.9</v>
      </c>
      <c r="O24" s="3">
        <f>[2]INPUTS!Q9</f>
        <v>1300.5999999999999</v>
      </c>
      <c r="P24" s="3">
        <v>5</v>
      </c>
      <c r="Q24" s="3">
        <f>P24</f>
        <v>5</v>
      </c>
      <c r="R24" s="2">
        <v>8563.6480539999993</v>
      </c>
      <c r="S24" s="2">
        <f>R24*P24</f>
        <v>42818.240269999995</v>
      </c>
      <c r="T24" s="1"/>
    </row>
    <row r="25" spans="1:20" ht="15" x14ac:dyDescent="0.25">
      <c r="A25" s="5"/>
      <c r="B25" s="2" t="s">
        <v>29</v>
      </c>
      <c r="C25" s="2">
        <f>S25*0.00283</f>
        <v>127.7750359171</v>
      </c>
      <c r="D25" s="3">
        <f>[2]INPUTS!O10</f>
        <v>38624.400000000001</v>
      </c>
      <c r="E25" s="3">
        <f>[2]INPUTS!P10</f>
        <v>1489.7</v>
      </c>
      <c r="F25" s="3">
        <f>[2]INPUTS!Q10</f>
        <v>1187.3</v>
      </c>
      <c r="G25" s="3">
        <f>[2]INPUTS!O11</f>
        <v>38624.400000000001</v>
      </c>
      <c r="H25" s="3">
        <f>[2]INPUTS!P11</f>
        <v>1571.7</v>
      </c>
      <c r="I25" s="3">
        <f>[2]INPUTS!Q11</f>
        <v>1061.0999999999999</v>
      </c>
      <c r="J25" s="3">
        <f>[2]INPUTS!O11-60</f>
        <v>38564.400000000001</v>
      </c>
      <c r="K25" s="3">
        <f>[2]INPUTS!P11</f>
        <v>1571.7</v>
      </c>
      <c r="L25" s="3">
        <f>[2]INPUTS!Q11</f>
        <v>1061.0999999999999</v>
      </c>
      <c r="M25" s="3">
        <f>[2]INPUTS!O11-60</f>
        <v>38564.400000000001</v>
      </c>
      <c r="N25" s="3">
        <f>[2]INPUTS!P10</f>
        <v>1489.7</v>
      </c>
      <c r="O25" s="3">
        <f>[2]INPUTS!Q10</f>
        <v>1187.3</v>
      </c>
      <c r="P25" s="3">
        <v>5</v>
      </c>
      <c r="Q25" s="3">
        <f>P25</f>
        <v>5</v>
      </c>
      <c r="R25" s="2">
        <v>9030.0378739999996</v>
      </c>
      <c r="S25" s="2">
        <f>R25*P25</f>
        <v>45150.18937</v>
      </c>
      <c r="T25" s="1"/>
    </row>
    <row r="26" spans="1:20" ht="15" x14ac:dyDescent="0.25">
      <c r="A26" s="5"/>
      <c r="B26" s="2" t="s">
        <v>28</v>
      </c>
      <c r="C26" s="2">
        <f>S26*0.00283</f>
        <v>107.0446256215</v>
      </c>
      <c r="D26" s="3">
        <f>[2]INPUTS!O11</f>
        <v>38624.400000000001</v>
      </c>
      <c r="E26" s="3">
        <f>[2]INPUTS!P11</f>
        <v>1571.7</v>
      </c>
      <c r="F26" s="3">
        <f>[2]INPUTS!Q11</f>
        <v>1061.0999999999999</v>
      </c>
      <c r="G26" s="3">
        <f>[2]INPUTS!O12</f>
        <v>38624.400000000001</v>
      </c>
      <c r="H26" s="3">
        <f>[2]INPUTS!P12</f>
        <v>1632.6</v>
      </c>
      <c r="I26" s="3">
        <f>[2]INPUTS!Q12</f>
        <v>950.7</v>
      </c>
      <c r="J26" s="3">
        <f>[2]INPUTS!O12-60</f>
        <v>38564.400000000001</v>
      </c>
      <c r="K26" s="3">
        <f>[2]INPUTS!P12</f>
        <v>1632.6</v>
      </c>
      <c r="L26" s="3">
        <f>[2]INPUTS!Q12</f>
        <v>950.7</v>
      </c>
      <c r="M26" s="3">
        <f>[2]INPUTS!O12-60</f>
        <v>38564.400000000001</v>
      </c>
      <c r="N26" s="3">
        <f>[2]INPUTS!P11</f>
        <v>1571.7</v>
      </c>
      <c r="O26" s="3">
        <f>[2]INPUTS!Q11</f>
        <v>1061.0999999999999</v>
      </c>
      <c r="P26" s="3">
        <v>5</v>
      </c>
      <c r="Q26" s="3">
        <f>P26</f>
        <v>5</v>
      </c>
      <c r="R26" s="2">
        <v>7564.9912100000001</v>
      </c>
      <c r="S26" s="2">
        <f>R26*P26</f>
        <v>37824.956050000001</v>
      </c>
      <c r="T26" s="1"/>
    </row>
    <row r="27" spans="1:20" ht="15" x14ac:dyDescent="0.25">
      <c r="A27" s="5"/>
      <c r="B27" s="2" t="s">
        <v>27</v>
      </c>
      <c r="C27" s="2">
        <f>S27*0.00283</f>
        <v>121.72516589130001</v>
      </c>
      <c r="D27" s="3">
        <f>[2]INPUTS!O12</f>
        <v>38624.400000000001</v>
      </c>
      <c r="E27" s="3">
        <f>[2]INPUTS!P12</f>
        <v>1632.6</v>
      </c>
      <c r="F27" s="3">
        <f>[2]INPUTS!Q12</f>
        <v>950.7</v>
      </c>
      <c r="G27" s="3">
        <f>[2]INPUTS!O13</f>
        <v>38624.400000000001</v>
      </c>
      <c r="H27" s="3">
        <f>[2]INPUTS!P13</f>
        <v>1692.2</v>
      </c>
      <c r="I27" s="3">
        <f>[2]INPUTS!Q13</f>
        <v>820.3</v>
      </c>
      <c r="J27" s="3">
        <f>[2]INPUTS!O13-60</f>
        <v>38564.400000000001</v>
      </c>
      <c r="K27" s="3">
        <f>[2]INPUTS!P13</f>
        <v>1692.2</v>
      </c>
      <c r="L27" s="3">
        <f>[2]INPUTS!Q13</f>
        <v>820.3</v>
      </c>
      <c r="M27" s="3">
        <f>[2]INPUTS!O13-60</f>
        <v>38564.400000000001</v>
      </c>
      <c r="N27" s="3">
        <f>[2]INPUTS!P12</f>
        <v>1632.6</v>
      </c>
      <c r="O27" s="3">
        <f>[2]INPUTS!Q12</f>
        <v>950.7</v>
      </c>
      <c r="P27" s="3">
        <v>5</v>
      </c>
      <c r="Q27" s="3">
        <f>P27</f>
        <v>5</v>
      </c>
      <c r="R27" s="2">
        <v>8602.4852219999993</v>
      </c>
      <c r="S27" s="2">
        <f>R27*P27</f>
        <v>43012.42611</v>
      </c>
      <c r="T27" s="1"/>
    </row>
    <row r="28" spans="1:20" ht="15" x14ac:dyDescent="0.25">
      <c r="A28" s="5"/>
      <c r="B28" s="2" t="s">
        <v>26</v>
      </c>
      <c r="C28" s="2">
        <f>S28*0.00283</f>
        <v>133.38027782259999</v>
      </c>
      <c r="D28" s="3">
        <f>[2]INPUTS!O13</f>
        <v>38624.400000000001</v>
      </c>
      <c r="E28" s="3">
        <f>[2]INPUTS!P13</f>
        <v>1692.2</v>
      </c>
      <c r="F28" s="3">
        <f>[2]INPUTS!Q13</f>
        <v>820.3</v>
      </c>
      <c r="G28" s="3">
        <f>[2]INPUTS!O14</f>
        <v>38624.400000000001</v>
      </c>
      <c r="H28" s="3">
        <f>[2]INPUTS!P14</f>
        <v>1744.9</v>
      </c>
      <c r="I28" s="3">
        <f>[2]INPUTS!Q14</f>
        <v>672.3</v>
      </c>
      <c r="J28" s="3">
        <f>[2]INPUTS!O14-60</f>
        <v>38564.400000000001</v>
      </c>
      <c r="K28" s="3">
        <f>[2]INPUTS!P14</f>
        <v>1744.9</v>
      </c>
      <c r="L28" s="3">
        <f>[2]INPUTS!Q14</f>
        <v>672.3</v>
      </c>
      <c r="M28" s="3">
        <f>[2]INPUTS!O14-60</f>
        <v>38564.400000000001</v>
      </c>
      <c r="N28" s="3">
        <f>[2]INPUTS!P13</f>
        <v>1692.2</v>
      </c>
      <c r="O28" s="3">
        <f>[2]INPUTS!Q13</f>
        <v>820.3</v>
      </c>
      <c r="P28" s="3">
        <v>5</v>
      </c>
      <c r="Q28" s="3">
        <f>P28</f>
        <v>5</v>
      </c>
      <c r="R28" s="2">
        <v>9426.168044</v>
      </c>
      <c r="S28" s="2">
        <f>R28*P28</f>
        <v>47130.840219999998</v>
      </c>
      <c r="T28" s="1"/>
    </row>
    <row r="29" spans="1:20" ht="15" x14ac:dyDescent="0.25">
      <c r="A29" s="5"/>
      <c r="B29" s="2" t="s">
        <v>25</v>
      </c>
      <c r="C29" s="2">
        <f>S29*0.00283</f>
        <v>137.63211770619998</v>
      </c>
      <c r="D29" s="3">
        <f>[2]INPUTS!O14</f>
        <v>38624.400000000001</v>
      </c>
      <c r="E29" s="3">
        <f>[2]INPUTS!P14</f>
        <v>1744.9</v>
      </c>
      <c r="F29" s="3">
        <f>[2]INPUTS!Q14</f>
        <v>672.3</v>
      </c>
      <c r="G29" s="3">
        <f>[2]INPUTS!O15</f>
        <v>38624.400000000001</v>
      </c>
      <c r="H29" s="3">
        <f>[2]INPUTS!P15</f>
        <v>1784.1</v>
      </c>
      <c r="I29" s="3">
        <f>[2]INPUTS!Q15</f>
        <v>515</v>
      </c>
      <c r="J29" s="3">
        <f>[2]INPUTS!O15-60</f>
        <v>38564.400000000001</v>
      </c>
      <c r="K29" s="3">
        <f>[2]INPUTS!P15</f>
        <v>1784.1</v>
      </c>
      <c r="L29" s="3">
        <f>[2]INPUTS!Q15</f>
        <v>515</v>
      </c>
      <c r="M29" s="3">
        <f>[2]INPUTS!O15-60</f>
        <v>38564.400000000001</v>
      </c>
      <c r="N29" s="3">
        <f>[2]INPUTS!P14</f>
        <v>1744.9</v>
      </c>
      <c r="O29" s="3">
        <f>[2]INPUTS!Q14</f>
        <v>672.3</v>
      </c>
      <c r="P29" s="3">
        <v>5</v>
      </c>
      <c r="Q29" s="3">
        <f>P29</f>
        <v>5</v>
      </c>
      <c r="R29" s="2">
        <v>9726.6514279999992</v>
      </c>
      <c r="S29" s="2">
        <f>R29*P29</f>
        <v>48633.257139999994</v>
      </c>
      <c r="T29" s="1"/>
    </row>
    <row r="30" spans="1:20" ht="15" x14ac:dyDescent="0.25">
      <c r="A30" s="5"/>
      <c r="B30" s="2" t="s">
        <v>24</v>
      </c>
      <c r="C30" s="2">
        <f>S30*0.00283</f>
        <v>137.84293511775002</v>
      </c>
      <c r="D30" s="3">
        <f>[2]INPUTS!O15</f>
        <v>38624.400000000001</v>
      </c>
      <c r="E30" s="3">
        <f>[2]INPUTS!P15</f>
        <v>1784.1</v>
      </c>
      <c r="F30" s="3">
        <f>[2]INPUTS!Q15</f>
        <v>515</v>
      </c>
      <c r="G30" s="3">
        <f>[2]INPUTS!O16</f>
        <v>38624.400000000001</v>
      </c>
      <c r="H30" s="3">
        <f>[2]INPUTS!P16</f>
        <v>1808.6</v>
      </c>
      <c r="I30" s="3">
        <f>[2]INPUTS!Q16</f>
        <v>354.5</v>
      </c>
      <c r="J30" s="3">
        <f>[2]INPUTS!O16-60</f>
        <v>38564.400000000001</v>
      </c>
      <c r="K30" s="3">
        <f>[2]INPUTS!P16</f>
        <v>1808.6</v>
      </c>
      <c r="L30" s="3">
        <f>[2]INPUTS!Q16</f>
        <v>354.5</v>
      </c>
      <c r="M30" s="3">
        <f>[2]INPUTS!O16-60</f>
        <v>38564.400000000001</v>
      </c>
      <c r="N30" s="3">
        <f>[2]INPUTS!P15</f>
        <v>1784.1</v>
      </c>
      <c r="O30" s="3">
        <f>[2]INPUTS!Q15</f>
        <v>515</v>
      </c>
      <c r="P30" s="3">
        <v>5</v>
      </c>
      <c r="Q30" s="3">
        <f>P30</f>
        <v>5</v>
      </c>
      <c r="R30" s="2">
        <v>9741.5501850000001</v>
      </c>
      <c r="S30" s="2">
        <f>R30*P30</f>
        <v>48707.750925</v>
      </c>
      <c r="T30" s="1"/>
    </row>
    <row r="31" spans="1:20" ht="15" x14ac:dyDescent="0.25">
      <c r="A31" s="5"/>
      <c r="B31" s="2" t="s">
        <v>23</v>
      </c>
      <c r="C31" s="2">
        <f>S31*0.00283</f>
        <v>139.2533154116</v>
      </c>
      <c r="D31" s="3">
        <f>[2]INPUTS!O16</f>
        <v>38624.400000000001</v>
      </c>
      <c r="E31" s="3">
        <f>[2]INPUTS!P16</f>
        <v>1808.6</v>
      </c>
      <c r="F31" s="3">
        <f>[2]INPUTS!Q16</f>
        <v>354.5</v>
      </c>
      <c r="G31" s="3">
        <f>[2]INPUTS!O17</f>
        <v>38624.400000000001</v>
      </c>
      <c r="H31" s="3">
        <f>[2]INPUTS!P17</f>
        <v>1817.1</v>
      </c>
      <c r="I31" s="3">
        <f>[2]INPUTS!Q17</f>
        <v>190.7</v>
      </c>
      <c r="J31" s="3">
        <f>[2]INPUTS!O17-60</f>
        <v>38564.400000000001</v>
      </c>
      <c r="K31" s="3">
        <f>[2]INPUTS!P17</f>
        <v>1817.1</v>
      </c>
      <c r="L31" s="3">
        <f>[2]INPUTS!Q17</f>
        <v>190.7</v>
      </c>
      <c r="M31" s="3">
        <f>[2]INPUTS!O17-60</f>
        <v>38564.400000000001</v>
      </c>
      <c r="N31" s="3">
        <f>[2]INPUTS!P16</f>
        <v>1808.6</v>
      </c>
      <c r="O31" s="3">
        <f>[2]INPUTS!Q16</f>
        <v>354.5</v>
      </c>
      <c r="P31" s="3">
        <v>5</v>
      </c>
      <c r="Q31" s="3">
        <f>P31</f>
        <v>5</v>
      </c>
      <c r="R31" s="2">
        <v>9841.223704</v>
      </c>
      <c r="S31" s="2">
        <f>R31*P31</f>
        <v>49206.118520000004</v>
      </c>
      <c r="T31" s="1"/>
    </row>
    <row r="32" spans="1:20" ht="15" x14ac:dyDescent="0.25">
      <c r="A32" s="5"/>
      <c r="B32" s="2" t="s">
        <v>22</v>
      </c>
      <c r="C32" s="2">
        <f>S32*0.00283</f>
        <v>118.94114276465001</v>
      </c>
      <c r="D32" s="3">
        <f>[2]INPUTS!O17</f>
        <v>38624.400000000001</v>
      </c>
      <c r="E32" s="3">
        <f>[2]INPUTS!P17</f>
        <v>1817.1</v>
      </c>
      <c r="F32" s="3">
        <f>[2]INPUTS!Q17</f>
        <v>190.7</v>
      </c>
      <c r="G32" s="3">
        <f>[2]INPUTS!O18</f>
        <v>38624.400000000001</v>
      </c>
      <c r="H32" s="3">
        <f>[2]INPUTS!P18</f>
        <v>1809.7</v>
      </c>
      <c r="I32" s="3">
        <f>[2]INPUTS!Q18</f>
        <v>50.8</v>
      </c>
      <c r="J32" s="3">
        <f>[2]INPUTS!O18-60</f>
        <v>38564.400000000001</v>
      </c>
      <c r="K32" s="3">
        <f>[2]INPUTS!P18</f>
        <v>1809.7</v>
      </c>
      <c r="L32" s="3">
        <f>[2]INPUTS!Q18</f>
        <v>50.8</v>
      </c>
      <c r="M32" s="3">
        <f>[2]INPUTS!O18-60</f>
        <v>38564.400000000001</v>
      </c>
      <c r="N32" s="3">
        <f>[2]INPUTS!P17</f>
        <v>1817.1</v>
      </c>
      <c r="O32" s="3">
        <f>[2]INPUTS!Q17</f>
        <v>190.7</v>
      </c>
      <c r="P32" s="3">
        <v>5</v>
      </c>
      <c r="Q32" s="3">
        <f>P32</f>
        <v>5</v>
      </c>
      <c r="R32" s="2">
        <v>8405.7344709999998</v>
      </c>
      <c r="S32" s="2">
        <f>R32*P32</f>
        <v>42028.672355000002</v>
      </c>
      <c r="T32" s="1"/>
    </row>
    <row r="33" spans="1:20" ht="15" x14ac:dyDescent="0.25">
      <c r="A33" s="5"/>
      <c r="B33" s="2" t="s">
        <v>21</v>
      </c>
      <c r="C33" s="2">
        <f>S33*0.00283</f>
        <v>127.99389519815</v>
      </c>
      <c r="D33" s="3">
        <f>[2]INPUTS!O18</f>
        <v>38624.400000000001</v>
      </c>
      <c r="E33" s="3">
        <f>[2]INPUTS!P18</f>
        <v>1809.7</v>
      </c>
      <c r="F33" s="3">
        <f>[2]INPUTS!Q18</f>
        <v>50.8</v>
      </c>
      <c r="G33" s="3">
        <f>[2]INPUTS!O19</f>
        <v>38624.400000000001</v>
      </c>
      <c r="H33" s="3">
        <f>[2]INPUTS!P19</f>
        <v>1787.4</v>
      </c>
      <c r="I33" s="3">
        <f>[2]INPUTS!Q19</f>
        <v>-98.3</v>
      </c>
      <c r="J33" s="3">
        <f>[2]INPUTS!O19-60</f>
        <v>38564.400000000001</v>
      </c>
      <c r="K33" s="3">
        <f>[2]INPUTS!P19</f>
        <v>1787.4</v>
      </c>
      <c r="L33" s="3">
        <f>[2]INPUTS!Q19</f>
        <v>-98.3</v>
      </c>
      <c r="M33" s="3">
        <f>[2]INPUTS!O19-60</f>
        <v>38564.400000000001</v>
      </c>
      <c r="N33" s="3">
        <f>[2]INPUTS!P18</f>
        <v>1809.7</v>
      </c>
      <c r="O33" s="3">
        <f>[2]INPUTS!Q18</f>
        <v>50.8</v>
      </c>
      <c r="P33" s="3">
        <v>5</v>
      </c>
      <c r="Q33" s="3">
        <f>P33</f>
        <v>5</v>
      </c>
      <c r="R33" s="2">
        <v>9045.5049610000005</v>
      </c>
      <c r="S33" s="2">
        <f>R33*P33</f>
        <v>45227.524805000001</v>
      </c>
      <c r="T33" s="1"/>
    </row>
    <row r="34" spans="1:20" ht="15" x14ac:dyDescent="0.25">
      <c r="A34" s="5"/>
      <c r="B34" s="2" t="s">
        <v>20</v>
      </c>
      <c r="C34" s="2">
        <f>S34*0.00283</f>
        <v>115.62036607490001</v>
      </c>
      <c r="D34" s="3">
        <f>[2]INPUTS!O19</f>
        <v>38624.400000000001</v>
      </c>
      <c r="E34" s="3">
        <f>[2]INPUTS!P19</f>
        <v>1787.4</v>
      </c>
      <c r="F34" s="3">
        <f>[2]INPUTS!Q19</f>
        <v>-98.3</v>
      </c>
      <c r="G34" s="3">
        <f>[2]INPUTS!O20</f>
        <v>38624.400000000001</v>
      </c>
      <c r="H34" s="3">
        <f>[2]INPUTS!P20</f>
        <v>1754.7</v>
      </c>
      <c r="I34" s="3">
        <f>[2]INPUTS!Q20</f>
        <v>-230.5</v>
      </c>
      <c r="J34" s="3">
        <f>[2]INPUTS!O20-60</f>
        <v>38564.400000000001</v>
      </c>
      <c r="K34" s="3">
        <f>[2]INPUTS!P20</f>
        <v>1754.7</v>
      </c>
      <c r="L34" s="3">
        <f>[2]INPUTS!Q20</f>
        <v>-230.5</v>
      </c>
      <c r="M34" s="3">
        <f>[2]INPUTS!O20-60</f>
        <v>38564.400000000001</v>
      </c>
      <c r="N34" s="3">
        <f>[2]INPUTS!P19</f>
        <v>1787.4</v>
      </c>
      <c r="O34" s="3">
        <f>[2]INPUTS!Q19</f>
        <v>-98.3</v>
      </c>
      <c r="P34" s="3">
        <v>5</v>
      </c>
      <c r="Q34" s="3">
        <f>P34</f>
        <v>5</v>
      </c>
      <c r="R34" s="2">
        <v>8171.0506059999998</v>
      </c>
      <c r="S34" s="2">
        <f>R34*P34</f>
        <v>40855.25303</v>
      </c>
      <c r="T34" s="1"/>
    </row>
    <row r="35" spans="1:20" ht="15" x14ac:dyDescent="0.25">
      <c r="A35" s="5"/>
      <c r="B35" s="2" t="s">
        <v>19</v>
      </c>
      <c r="C35" s="2">
        <f>S35*0.00283</f>
        <v>133.0306062205</v>
      </c>
      <c r="D35" s="3">
        <f>[2]INPUTS!O20</f>
        <v>38624.400000000001</v>
      </c>
      <c r="E35" s="3">
        <f>[2]INPUTS!P20</f>
        <v>1754.7</v>
      </c>
      <c r="F35" s="3">
        <f>[2]INPUTS!Q20</f>
        <v>-230.5</v>
      </c>
      <c r="G35" s="3">
        <f>[2]INPUTS!O21</f>
        <v>38624.400000000001</v>
      </c>
      <c r="H35" s="3">
        <f>[2]INPUTS!P21</f>
        <v>1705</v>
      </c>
      <c r="I35" s="3">
        <f>[2]INPUTS!Q21</f>
        <v>-379.1</v>
      </c>
      <c r="J35" s="3">
        <f>[2]INPUTS!O21-60</f>
        <v>38564.400000000001</v>
      </c>
      <c r="K35" s="3">
        <f>[2]INPUTS!P21</f>
        <v>1705</v>
      </c>
      <c r="L35" s="3">
        <f>[2]INPUTS!Q21</f>
        <v>-379.1</v>
      </c>
      <c r="M35" s="3">
        <f>[2]INPUTS!O21-60</f>
        <v>38564.400000000001</v>
      </c>
      <c r="N35" s="3">
        <f>[2]INPUTS!P20</f>
        <v>1754.7</v>
      </c>
      <c r="O35" s="3">
        <f>[2]INPUTS!Q20</f>
        <v>-230.5</v>
      </c>
      <c r="P35" s="3">
        <v>5</v>
      </c>
      <c r="Q35" s="3">
        <f>P35</f>
        <v>5</v>
      </c>
      <c r="R35" s="2">
        <v>9401.4562700000006</v>
      </c>
      <c r="S35" s="2">
        <f>R35*P35</f>
        <v>47007.281350000005</v>
      </c>
      <c r="T35" s="1"/>
    </row>
    <row r="36" spans="1:20" ht="15" x14ac:dyDescent="0.25">
      <c r="A36" s="5"/>
      <c r="B36" s="2" t="s">
        <v>18</v>
      </c>
      <c r="C36" s="2">
        <f>S36*0.00283</f>
        <v>119.97844994585</v>
      </c>
      <c r="D36" s="3">
        <f>[2]INPUTS!O21</f>
        <v>38624.400000000001</v>
      </c>
      <c r="E36" s="3">
        <f>[2]INPUTS!P21</f>
        <v>1705</v>
      </c>
      <c r="F36" s="3">
        <f>[2]INPUTS!Q21</f>
        <v>-379.1</v>
      </c>
      <c r="G36" s="3">
        <f>[2]INPUTS!O22</f>
        <v>38624.400000000001</v>
      </c>
      <c r="H36" s="3">
        <f>[2]INPUTS!P22</f>
        <v>1648.2</v>
      </c>
      <c r="I36" s="3">
        <f>[2]INPUTS!Q22</f>
        <v>-508.5</v>
      </c>
      <c r="J36" s="3">
        <f>[2]INPUTS!O22-60</f>
        <v>38564.400000000001</v>
      </c>
      <c r="K36" s="3">
        <f>[2]INPUTS!P22</f>
        <v>1648.2</v>
      </c>
      <c r="L36" s="3">
        <f>[2]INPUTS!Q22</f>
        <v>-508.5</v>
      </c>
      <c r="M36" s="3">
        <f>[2]INPUTS!O22-60</f>
        <v>38564.400000000001</v>
      </c>
      <c r="N36" s="3">
        <f>[2]INPUTS!P21</f>
        <v>1705</v>
      </c>
      <c r="O36" s="3">
        <f>[2]INPUTS!Q21</f>
        <v>-379.1</v>
      </c>
      <c r="P36" s="3">
        <v>5</v>
      </c>
      <c r="Q36" s="3">
        <f>P36</f>
        <v>5</v>
      </c>
      <c r="R36" s="2">
        <v>8479.0423989999999</v>
      </c>
      <c r="S36" s="2">
        <f>R36*P36</f>
        <v>42395.211994999998</v>
      </c>
      <c r="T36" s="1"/>
    </row>
    <row r="37" spans="1:20" ht="15" x14ac:dyDescent="0.25">
      <c r="A37" s="5"/>
      <c r="B37" s="2" t="s">
        <v>17</v>
      </c>
      <c r="C37" s="2">
        <f>S37*0.00283</f>
        <v>113.96986246015</v>
      </c>
      <c r="D37" s="3">
        <f>[2]INPUTS!O22</f>
        <v>38624.400000000001</v>
      </c>
      <c r="E37" s="3">
        <f>[2]INPUTS!P22</f>
        <v>1648.2</v>
      </c>
      <c r="F37" s="3">
        <f>[2]INPUTS!Q22</f>
        <v>-508.5</v>
      </c>
      <c r="G37" s="3">
        <f>[2]INPUTS!O23</f>
        <v>38624.400000000001</v>
      </c>
      <c r="H37" s="3">
        <f>[2]INPUTS!P23</f>
        <v>1594.2</v>
      </c>
      <c r="I37" s="3">
        <f>[2]INPUTS!Q23</f>
        <v>-631.4</v>
      </c>
      <c r="J37" s="3">
        <f>[2]INPUTS!O23-60</f>
        <v>38564.400000000001</v>
      </c>
      <c r="K37" s="3">
        <f>[2]INPUTS!P23</f>
        <v>1594.2</v>
      </c>
      <c r="L37" s="3">
        <f>[2]INPUTS!Q23</f>
        <v>-631.4</v>
      </c>
      <c r="M37" s="3">
        <f>[2]INPUTS!O23-60</f>
        <v>38564.400000000001</v>
      </c>
      <c r="N37" s="3">
        <f>[2]INPUTS!P22</f>
        <v>1648.2</v>
      </c>
      <c r="O37" s="3">
        <f>[2]INPUTS!Q22</f>
        <v>-508.5</v>
      </c>
      <c r="P37" s="3">
        <v>5</v>
      </c>
      <c r="Q37" s="3">
        <f>P37</f>
        <v>5</v>
      </c>
      <c r="R37" s="2">
        <v>8054.4072409999999</v>
      </c>
      <c r="S37" s="2">
        <f>R37*P37</f>
        <v>40272.036204999997</v>
      </c>
      <c r="T37" s="1"/>
    </row>
    <row r="38" spans="1:20" ht="15" x14ac:dyDescent="0.25">
      <c r="A38" s="5"/>
      <c r="B38" s="2" t="s">
        <v>16</v>
      </c>
      <c r="C38" s="2">
        <f>S38*0.00283</f>
        <v>198.37569477950004</v>
      </c>
      <c r="D38" s="3">
        <f>[2]INPUTS!O6-60</f>
        <v>38564.400000000001</v>
      </c>
      <c r="E38" s="3">
        <f>[1]GEOMETRY_PROCESSING!F6</f>
        <v>971.48179193981059</v>
      </c>
      <c r="F38" s="3">
        <f>[1]GEOMETRY_PROCESSING!G6</f>
        <v>1552.1429554975912</v>
      </c>
      <c r="G38" s="3">
        <f>[2]INPUTS!O7-60</f>
        <v>38564.400000000001</v>
      </c>
      <c r="H38" s="3">
        <f>[1]GEOMETRY_PROCESSING!F7</f>
        <v>1141.5279380268596</v>
      </c>
      <c r="I38" s="3">
        <f>[1]GEOMETRY_PROCESSING!G7</f>
        <v>1391.7514604842547</v>
      </c>
      <c r="J38" s="3">
        <f>[2]INPUTS!O7</f>
        <v>38624.400000000001</v>
      </c>
      <c r="K38" s="3">
        <f>[1]GEOMETRY_PROCESSING!F7</f>
        <v>1141.5279380268596</v>
      </c>
      <c r="L38" s="3">
        <f>[1]GEOMETRY_PROCESSING!G7</f>
        <v>1391.7514604842547</v>
      </c>
      <c r="M38" s="3">
        <f>[2]INPUTS!O6</f>
        <v>38624.400000000001</v>
      </c>
      <c r="N38" s="3">
        <f>[1]GEOMETRY_PROCESSING!F6</f>
        <v>971.48179193981059</v>
      </c>
      <c r="O38" s="3">
        <f>[1]GEOMETRY_PROCESSING!G6</f>
        <v>1552.1429554975912</v>
      </c>
      <c r="P38" s="3">
        <v>5</v>
      </c>
      <c r="Q38" s="3">
        <f>P38</f>
        <v>5</v>
      </c>
      <c r="R38" s="2">
        <v>14019.48373</v>
      </c>
      <c r="S38" s="2">
        <f>R38*P38</f>
        <v>70097.418650000007</v>
      </c>
      <c r="T38" s="1"/>
    </row>
    <row r="39" spans="1:20" ht="15" x14ac:dyDescent="0.25">
      <c r="A39" s="5"/>
      <c r="B39" s="2" t="s">
        <v>15</v>
      </c>
      <c r="C39" s="2">
        <f>S39*0.00283</f>
        <v>62.770044334399991</v>
      </c>
      <c r="D39" s="3">
        <f>[2]INPUTS!O7-60</f>
        <v>38564.400000000001</v>
      </c>
      <c r="E39" s="3">
        <f>[1]GEOMETRY_PROCESSING!F7</f>
        <v>1141.5279380268596</v>
      </c>
      <c r="F39" s="3">
        <f>[1]GEOMETRY_PROCESSING!G7</f>
        <v>1391.7514604842547</v>
      </c>
      <c r="G39" s="3">
        <f>[2]INPUTS!O8-60</f>
        <v>38564.400000000001</v>
      </c>
      <c r="H39" s="3">
        <f>[1]GEOMETRY_PROCESSING!F8</f>
        <v>1195.5274236060093</v>
      </c>
      <c r="I39" s="3">
        <f>[1]GEOMETRY_PROCESSING!G8</f>
        <v>1341.2869648120595</v>
      </c>
      <c r="J39" s="3">
        <f>[2]INPUTS!O8</f>
        <v>38624.400000000001</v>
      </c>
      <c r="K39" s="3">
        <f>[1]GEOMETRY_PROCESSING!F8</f>
        <v>1195.5274236060093</v>
      </c>
      <c r="L39" s="3">
        <f>[1]GEOMETRY_PROCESSING!G8</f>
        <v>1341.2869648120595</v>
      </c>
      <c r="M39" s="3">
        <f>[2]INPUTS!O7</f>
        <v>38624.400000000001</v>
      </c>
      <c r="N39" s="3">
        <f>[1]GEOMETRY_PROCESSING!F7</f>
        <v>1141.5279380268596</v>
      </c>
      <c r="O39" s="3">
        <f>[1]GEOMETRY_PROCESSING!G7</f>
        <v>1391.7514604842547</v>
      </c>
      <c r="P39" s="3">
        <v>5</v>
      </c>
      <c r="Q39" s="3">
        <f>P39</f>
        <v>5</v>
      </c>
      <c r="R39" s="2">
        <v>4436.0455359999996</v>
      </c>
      <c r="S39" s="2">
        <f>R39*P39</f>
        <v>22180.227679999996</v>
      </c>
      <c r="T39" s="1"/>
    </row>
    <row r="40" spans="1:20" ht="15" x14ac:dyDescent="0.25">
      <c r="A40" s="5"/>
      <c r="B40" s="2" t="s">
        <v>14</v>
      </c>
      <c r="C40" s="2">
        <f>S40*0.00283</f>
        <v>145.04483578449998</v>
      </c>
      <c r="D40" s="3">
        <f>[2]INPUTS!O8-60</f>
        <v>38564.400000000001</v>
      </c>
      <c r="E40" s="3">
        <f>[1]GEOMETRY_PROCESSING!F8</f>
        <v>1195.5274236060093</v>
      </c>
      <c r="F40" s="3">
        <f>[1]GEOMETRY_PROCESSING!G8</f>
        <v>1341.2869648120595</v>
      </c>
      <c r="G40" s="3">
        <f>[2]INPUTS!O9-60</f>
        <v>38564.400000000001</v>
      </c>
      <c r="H40" s="3">
        <f>[1]GEOMETRY_PROCESSING!F9</f>
        <v>1311.2326552809975</v>
      </c>
      <c r="I40" s="3">
        <f>[1]GEOMETRY_PROCESSING!G9</f>
        <v>1215.6170728194918</v>
      </c>
      <c r="J40" s="3">
        <f>[2]INPUTS!O9</f>
        <v>38624.400000000001</v>
      </c>
      <c r="K40" s="3">
        <f>[1]GEOMETRY_PROCESSING!F9</f>
        <v>1311.2326552809975</v>
      </c>
      <c r="L40" s="3">
        <f>[1]GEOMETRY_PROCESSING!G9</f>
        <v>1215.6170728194918</v>
      </c>
      <c r="M40" s="3">
        <f>[2]INPUTS!O8</f>
        <v>38624.400000000001</v>
      </c>
      <c r="N40" s="3">
        <f>[1]GEOMETRY_PROCESSING!F8</f>
        <v>1195.5274236060093</v>
      </c>
      <c r="O40" s="3">
        <f>[1]GEOMETRY_PROCESSING!G8</f>
        <v>1341.2869648120595</v>
      </c>
      <c r="P40" s="3">
        <v>5</v>
      </c>
      <c r="Q40" s="3">
        <f>P40</f>
        <v>5</v>
      </c>
      <c r="R40" s="2">
        <v>10250.51843</v>
      </c>
      <c r="S40" s="2">
        <f>R40*P40</f>
        <v>51252.592149999997</v>
      </c>
      <c r="T40" s="1"/>
    </row>
    <row r="41" spans="1:20" ht="15" x14ac:dyDescent="0.25">
      <c r="A41" s="5"/>
      <c r="B41" s="2" t="s">
        <v>13</v>
      </c>
      <c r="C41" s="2">
        <f>S41*0.00283</f>
        <v>113.24186564745</v>
      </c>
      <c r="D41" s="3">
        <f>[2]INPUTS!O9-60</f>
        <v>38564.400000000001</v>
      </c>
      <c r="E41" s="3">
        <f>[1]GEOMETRY_PROCESSING!F9</f>
        <v>1311.2326552809975</v>
      </c>
      <c r="F41" s="3">
        <f>[1]GEOMETRY_PROCESSING!G9</f>
        <v>1215.6170728194918</v>
      </c>
      <c r="G41" s="3">
        <f>[2]INPUTS!O10-60</f>
        <v>38564.400000000001</v>
      </c>
      <c r="H41" s="3">
        <f>[1]GEOMETRY_PROCESSING!F10</f>
        <v>1391.9488026884201</v>
      </c>
      <c r="I41" s="3">
        <f>[1]GEOMETRY_PROCESSING!G10</f>
        <v>1109.3916986184875</v>
      </c>
      <c r="J41" s="3">
        <f>[2]INPUTS!O10</f>
        <v>38624.400000000001</v>
      </c>
      <c r="K41" s="3">
        <f>[1]GEOMETRY_PROCESSING!F10</f>
        <v>1391.9488026884201</v>
      </c>
      <c r="L41" s="3">
        <f>[1]GEOMETRY_PROCESSING!G10</f>
        <v>1109.3916986184875</v>
      </c>
      <c r="M41" s="3">
        <f>[2]INPUTS!O9</f>
        <v>38624.400000000001</v>
      </c>
      <c r="N41" s="3">
        <f>[1]GEOMETRY_PROCESSING!F9</f>
        <v>1311.2326552809975</v>
      </c>
      <c r="O41" s="3">
        <f>[1]GEOMETRY_PROCESSING!G9</f>
        <v>1215.6170728194918</v>
      </c>
      <c r="P41" s="3">
        <v>5</v>
      </c>
      <c r="Q41" s="3">
        <f>P41</f>
        <v>5</v>
      </c>
      <c r="R41" s="2">
        <v>8002.9587030000002</v>
      </c>
      <c r="S41" s="2">
        <f>R41*P41</f>
        <v>40014.793514999998</v>
      </c>
      <c r="T41" s="1"/>
    </row>
    <row r="42" spans="1:20" ht="15" x14ac:dyDescent="0.25">
      <c r="A42" s="5"/>
      <c r="B42" s="2" t="s">
        <v>12</v>
      </c>
      <c r="C42" s="2">
        <f>S42*0.00283</f>
        <v>119.39753566190001</v>
      </c>
      <c r="D42" s="3">
        <f>[2]INPUTS!O10-60</f>
        <v>38564.400000000001</v>
      </c>
      <c r="E42" s="3">
        <f>[1]GEOMETRY_PROCESSING!F10</f>
        <v>1391.9488026884201</v>
      </c>
      <c r="F42" s="3">
        <f>[1]GEOMETRY_PROCESSING!G10</f>
        <v>1109.3916986184875</v>
      </c>
      <c r="G42" s="3">
        <f>[2]INPUTS!O11-60</f>
        <v>38564.400000000001</v>
      </c>
      <c r="H42" s="3">
        <f>[1]GEOMETRY_PROCESSING!F11</f>
        <v>1468.1001058371221</v>
      </c>
      <c r="I42" s="3">
        <f>[1]GEOMETRY_PROCESSING!G11</f>
        <v>991.15672348652413</v>
      </c>
      <c r="J42" s="3">
        <f>[2]INPUTS!O11</f>
        <v>38624.400000000001</v>
      </c>
      <c r="K42" s="3">
        <f>[1]GEOMETRY_PROCESSING!F11</f>
        <v>1468.1001058371221</v>
      </c>
      <c r="L42" s="3">
        <f>[1]GEOMETRY_PROCESSING!G11</f>
        <v>991.15672348652413</v>
      </c>
      <c r="M42" s="3">
        <f>[2]INPUTS!O10</f>
        <v>38624.400000000001</v>
      </c>
      <c r="N42" s="3">
        <f>[1]GEOMETRY_PROCESSING!F10</f>
        <v>1391.9488026884201</v>
      </c>
      <c r="O42" s="3">
        <f>[1]GEOMETRY_PROCESSING!G10</f>
        <v>1109.3916986184875</v>
      </c>
      <c r="P42" s="3">
        <v>5</v>
      </c>
      <c r="Q42" s="3">
        <f>P42</f>
        <v>5</v>
      </c>
      <c r="R42" s="2">
        <v>8437.9883860000009</v>
      </c>
      <c r="S42" s="2">
        <f>R42*P42</f>
        <v>42189.941930000001</v>
      </c>
      <c r="T42" s="1"/>
    </row>
    <row r="43" spans="1:20" ht="15" x14ac:dyDescent="0.25">
      <c r="A43" s="5"/>
      <c r="B43" s="2" t="s">
        <v>11</v>
      </c>
      <c r="C43" s="2">
        <f>S43*0.00283</f>
        <v>100.03731370300001</v>
      </c>
      <c r="D43" s="3">
        <f>[2]INPUTS!O11-60</f>
        <v>38564.400000000001</v>
      </c>
      <c r="E43" s="3">
        <f>[1]GEOMETRY_PROCESSING!F11</f>
        <v>1468.1001058371221</v>
      </c>
      <c r="F43" s="3">
        <f>[1]GEOMETRY_PROCESSING!G11</f>
        <v>991.15672348652413</v>
      </c>
      <c r="G43" s="3">
        <f>[2]INPUTS!O12-60</f>
        <v>38564.400000000001</v>
      </c>
      <c r="H43" s="3">
        <f>[1]GEOMETRY_PROCESSING!F12</f>
        <v>1524.5801532266989</v>
      </c>
      <c r="I43" s="3">
        <f>[1]GEOMETRY_PROCESSING!G12</f>
        <v>887.79759382128066</v>
      </c>
      <c r="J43" s="3">
        <f>[2]INPUTS!O12</f>
        <v>38624.400000000001</v>
      </c>
      <c r="K43" s="3">
        <f>[1]GEOMETRY_PROCESSING!F12</f>
        <v>1524.5801532266989</v>
      </c>
      <c r="L43" s="3">
        <f>[1]GEOMETRY_PROCESSING!G12</f>
        <v>887.79759382128066</v>
      </c>
      <c r="M43" s="3">
        <f>[2]INPUTS!O11</f>
        <v>38624.400000000001</v>
      </c>
      <c r="N43" s="3">
        <f>[1]GEOMETRY_PROCESSING!F11</f>
        <v>1468.1001058371221</v>
      </c>
      <c r="O43" s="3">
        <f>[1]GEOMETRY_PROCESSING!G11</f>
        <v>991.15672348652413</v>
      </c>
      <c r="P43" s="3">
        <v>5</v>
      </c>
      <c r="Q43" s="3">
        <f>P43</f>
        <v>5</v>
      </c>
      <c r="R43" s="2">
        <v>7069.7748199999996</v>
      </c>
      <c r="S43" s="2">
        <f>R43*P43</f>
        <v>35348.874100000001</v>
      </c>
      <c r="T43" s="1"/>
    </row>
    <row r="44" spans="1:20" ht="15" x14ac:dyDescent="0.25">
      <c r="A44" s="5"/>
      <c r="B44" s="2" t="s">
        <v>10</v>
      </c>
      <c r="C44" s="2">
        <f>S44*0.00283</f>
        <v>113.6519297184</v>
      </c>
      <c r="D44" s="3">
        <f>[2]INPUTS!O12-60</f>
        <v>38564.400000000001</v>
      </c>
      <c r="E44" s="3">
        <f>[1]GEOMETRY_PROCESSING!F12</f>
        <v>1524.5801532266989</v>
      </c>
      <c r="F44" s="3">
        <f>[1]GEOMETRY_PROCESSING!G12</f>
        <v>887.79759382128066</v>
      </c>
      <c r="G44" s="3">
        <f>[2]INPUTS!O13-60</f>
        <v>38564.400000000001</v>
      </c>
      <c r="H44" s="3">
        <f>[1]GEOMETRY_PROCESSING!F13</f>
        <v>1579.7190460946467</v>
      </c>
      <c r="I44" s="3">
        <f>[1]GEOMETRY_PROCESSING!G13</f>
        <v>765.77445544937871</v>
      </c>
      <c r="J44" s="3">
        <f>[2]INPUTS!O13</f>
        <v>38624.400000000001</v>
      </c>
      <c r="K44" s="3">
        <f>[1]GEOMETRY_PROCESSING!F13</f>
        <v>1579.7190460946467</v>
      </c>
      <c r="L44" s="3">
        <f>[1]GEOMETRY_PROCESSING!G13</f>
        <v>765.77445544937871</v>
      </c>
      <c r="M44" s="3">
        <f>[2]INPUTS!O12</f>
        <v>38624.400000000001</v>
      </c>
      <c r="N44" s="3">
        <f>[1]GEOMETRY_PROCESSING!F12</f>
        <v>1524.5801532266989</v>
      </c>
      <c r="O44" s="3">
        <f>[1]GEOMETRY_PROCESSING!G12</f>
        <v>887.79759382128066</v>
      </c>
      <c r="P44" s="3">
        <v>5</v>
      </c>
      <c r="Q44" s="3">
        <f>P44</f>
        <v>5</v>
      </c>
      <c r="R44" s="2">
        <v>8031.9384959999998</v>
      </c>
      <c r="S44" s="2">
        <f>R44*P44</f>
        <v>40159.692479999998</v>
      </c>
      <c r="T44" s="1"/>
    </row>
    <row r="45" spans="1:20" ht="15" x14ac:dyDescent="0.25">
      <c r="A45" s="5"/>
      <c r="B45" s="2" t="s">
        <v>9</v>
      </c>
      <c r="C45" s="2">
        <f>S45*0.00283</f>
        <v>124.53565406009999</v>
      </c>
      <c r="D45" s="3">
        <f>[2]INPUTS!O13-60</f>
        <v>38564.400000000001</v>
      </c>
      <c r="E45" s="3">
        <f>[1]GEOMETRY_PROCESSING!F13</f>
        <v>1579.7190460946467</v>
      </c>
      <c r="F45" s="3">
        <f>[1]GEOMETRY_PROCESSING!G13</f>
        <v>765.77445544937871</v>
      </c>
      <c r="G45" s="3">
        <f>[2]INPUTS!O14-60</f>
        <v>38564.400000000001</v>
      </c>
      <c r="H45" s="3">
        <f>[1]GEOMETRY_PROCESSING!F14</f>
        <v>1628.2583517479252</v>
      </c>
      <c r="I45" s="3">
        <f>[1]GEOMETRY_PROCESSING!G14</f>
        <v>627.35863939488229</v>
      </c>
      <c r="J45" s="3">
        <f>[2]INPUTS!O14</f>
        <v>38624.400000000001</v>
      </c>
      <c r="K45" s="3">
        <f>[1]GEOMETRY_PROCESSING!F14</f>
        <v>1628.2583517479252</v>
      </c>
      <c r="L45" s="3">
        <f>[1]GEOMETRY_PROCESSING!G14</f>
        <v>627.35863939488229</v>
      </c>
      <c r="M45" s="3">
        <f>[2]INPUTS!O13</f>
        <v>38624.400000000001</v>
      </c>
      <c r="N45" s="3">
        <f>[1]GEOMETRY_PROCESSING!F13</f>
        <v>1579.7190460946467</v>
      </c>
      <c r="O45" s="3">
        <f>[1]GEOMETRY_PROCESSING!G13</f>
        <v>765.77445544937871</v>
      </c>
      <c r="P45" s="3">
        <v>5</v>
      </c>
      <c r="Q45" s="3">
        <f>P45</f>
        <v>5</v>
      </c>
      <c r="R45" s="2">
        <v>8801.1062939999993</v>
      </c>
      <c r="S45" s="2">
        <f>R45*P45</f>
        <v>44005.531469999994</v>
      </c>
      <c r="T45" s="1"/>
    </row>
    <row r="46" spans="1:20" ht="15" x14ac:dyDescent="0.25">
      <c r="A46" s="5"/>
      <c r="B46" s="2" t="s">
        <v>8</v>
      </c>
      <c r="C46" s="2">
        <f>S46*0.00283</f>
        <v>128.51319477870001</v>
      </c>
      <c r="D46" s="3">
        <f>[2]INPUTS!O14-60</f>
        <v>38564.400000000001</v>
      </c>
      <c r="E46" s="3">
        <f>[1]GEOMETRY_PROCESSING!F14</f>
        <v>1628.2583517479252</v>
      </c>
      <c r="F46" s="3">
        <f>[1]GEOMETRY_PROCESSING!G14</f>
        <v>627.35863939488229</v>
      </c>
      <c r="G46" s="3">
        <f>[2]INPUTS!O15-60</f>
        <v>38564.400000000001</v>
      </c>
      <c r="H46" s="3">
        <f>[1]GEOMETRY_PROCESSING!F15</f>
        <v>1664.0034307042376</v>
      </c>
      <c r="I46" s="3">
        <f>[1]GEOMETRY_PROCESSING!G15</f>
        <v>480.33281027559133</v>
      </c>
      <c r="J46" s="3">
        <f>[2]INPUTS!O15</f>
        <v>38624.400000000001</v>
      </c>
      <c r="K46" s="3">
        <f>[1]GEOMETRY_PROCESSING!F15</f>
        <v>1664.0034307042376</v>
      </c>
      <c r="L46" s="3">
        <f>[1]GEOMETRY_PROCESSING!G15</f>
        <v>480.33281027559133</v>
      </c>
      <c r="M46" s="3">
        <f>[2]INPUTS!O14</f>
        <v>38624.400000000001</v>
      </c>
      <c r="N46" s="3">
        <f>[1]GEOMETRY_PROCESSING!F14</f>
        <v>1628.2583517479252</v>
      </c>
      <c r="O46" s="3">
        <f>[1]GEOMETRY_PROCESSING!G14</f>
        <v>627.35863939488229</v>
      </c>
      <c r="P46" s="3">
        <v>5</v>
      </c>
      <c r="Q46" s="3">
        <f>P46</f>
        <v>5</v>
      </c>
      <c r="R46" s="2">
        <v>9082.2045780000008</v>
      </c>
      <c r="S46" s="2">
        <f>R46*P46</f>
        <v>45411.022890000007</v>
      </c>
      <c r="T46" s="1"/>
    </row>
    <row r="47" spans="1:20" ht="15" x14ac:dyDescent="0.25">
      <c r="A47" s="5"/>
      <c r="B47" s="2" t="s">
        <v>7</v>
      </c>
      <c r="C47" s="2">
        <f>S47*0.00283</f>
        <v>128.53212299315001</v>
      </c>
      <c r="D47" s="3">
        <f>[2]INPUTS!O15-60</f>
        <v>38564.400000000001</v>
      </c>
      <c r="E47" s="3">
        <f>[1]GEOMETRY_PROCESSING!F15</f>
        <v>1664.0034307042376</v>
      </c>
      <c r="F47" s="3">
        <f>[1]GEOMETRY_PROCESSING!G15</f>
        <v>480.33281027559133</v>
      </c>
      <c r="G47" s="3">
        <f>[2]INPUTS!O16-60</f>
        <v>38564.400000000001</v>
      </c>
      <c r="H47" s="3">
        <f>[1]GEOMETRY_PROCESSING!F16</f>
        <v>1685.934149385776</v>
      </c>
      <c r="I47" s="3">
        <f>[1]GEOMETRY_PROCESSING!G16</f>
        <v>330.45651661907419</v>
      </c>
      <c r="J47" s="3">
        <f>[2]INPUTS!O16</f>
        <v>38624.400000000001</v>
      </c>
      <c r="K47" s="3">
        <f>[1]GEOMETRY_PROCESSING!F16</f>
        <v>1685.934149385776</v>
      </c>
      <c r="L47" s="3">
        <f>[1]GEOMETRY_PROCESSING!G16</f>
        <v>330.45651661907419</v>
      </c>
      <c r="M47" s="3">
        <f>[2]INPUTS!O15</f>
        <v>38624.400000000001</v>
      </c>
      <c r="N47" s="3">
        <f>[1]GEOMETRY_PROCESSING!F15</f>
        <v>1664.0034307042376</v>
      </c>
      <c r="O47" s="3">
        <f>[1]GEOMETRY_PROCESSING!G15</f>
        <v>480.33281027559133</v>
      </c>
      <c r="P47" s="3">
        <v>5</v>
      </c>
      <c r="Q47" s="3">
        <f>P47</f>
        <v>5</v>
      </c>
      <c r="R47" s="2">
        <v>9083.5422610000005</v>
      </c>
      <c r="S47" s="2">
        <f>R47*P47</f>
        <v>45417.711305000004</v>
      </c>
      <c r="T47" s="1"/>
    </row>
    <row r="48" spans="1:20" ht="15" x14ac:dyDescent="0.25">
      <c r="A48" s="5"/>
      <c r="B48" s="2" t="s">
        <v>6</v>
      </c>
      <c r="C48" s="2">
        <f>S48*0.00283</f>
        <v>129.85939995495002</v>
      </c>
      <c r="D48" s="3">
        <f>[2]INPUTS!O16-60</f>
        <v>38564.400000000001</v>
      </c>
      <c r="E48" s="3">
        <f>[1]GEOMETRY_PROCESSING!F16</f>
        <v>1685.934149385776</v>
      </c>
      <c r="F48" s="3">
        <f>[1]GEOMETRY_PROCESSING!G16</f>
        <v>330.45651661907419</v>
      </c>
      <c r="G48" s="3">
        <f>[2]INPUTS!O17-60</f>
        <v>38564.400000000001</v>
      </c>
      <c r="H48" s="3">
        <f>[1]GEOMETRY_PROCESSING!F17</f>
        <v>1692.782738277491</v>
      </c>
      <c r="I48" s="3">
        <f>[1]GEOMETRY_PROCESSING!G17</f>
        <v>177.6532211708313</v>
      </c>
      <c r="J48" s="3">
        <f>[2]INPUTS!O17</f>
        <v>38624.400000000001</v>
      </c>
      <c r="K48" s="3">
        <f>[1]GEOMETRY_PROCESSING!F17</f>
        <v>1692.782738277491</v>
      </c>
      <c r="L48" s="3">
        <f>[1]GEOMETRY_PROCESSING!G17</f>
        <v>177.6532211708313</v>
      </c>
      <c r="M48" s="3">
        <f>[2]INPUTS!O16</f>
        <v>38624.400000000001</v>
      </c>
      <c r="N48" s="3">
        <f>[1]GEOMETRY_PROCESSING!F16</f>
        <v>1685.934149385776</v>
      </c>
      <c r="O48" s="3">
        <f>[1]GEOMETRY_PROCESSING!G16</f>
        <v>330.45651661907419</v>
      </c>
      <c r="P48" s="3">
        <v>5</v>
      </c>
      <c r="Q48" s="3">
        <f>P48</f>
        <v>5</v>
      </c>
      <c r="R48" s="2">
        <v>9177.3427530000008</v>
      </c>
      <c r="S48" s="2">
        <f>R48*P48</f>
        <v>45886.713765000008</v>
      </c>
      <c r="T48" s="1"/>
    </row>
    <row r="49" spans="1:20" ht="15" x14ac:dyDescent="0.25">
      <c r="A49" s="5"/>
      <c r="B49" s="2" t="s">
        <v>5</v>
      </c>
      <c r="C49" s="2">
        <f>S49*0.00283</f>
        <v>110.92297907095001</v>
      </c>
      <c r="D49" s="3">
        <f>[2]INPUTS!O17-60</f>
        <v>38564.400000000001</v>
      </c>
      <c r="E49" s="3">
        <f>[1]GEOMETRY_PROCESSING!F17</f>
        <v>1692.782738277491</v>
      </c>
      <c r="F49" s="3">
        <f>[1]GEOMETRY_PROCESSING!G17</f>
        <v>177.6532211708313</v>
      </c>
      <c r="G49" s="3">
        <f>[2]INPUTS!O18-60</f>
        <v>38564.400000000001</v>
      </c>
      <c r="H49" s="3">
        <f>[1]GEOMETRY_PROCESSING!F18</f>
        <v>1684.7492195570326</v>
      </c>
      <c r="I49" s="3">
        <f>[1]GEOMETRY_PROCESSING!G18</f>
        <v>47.292512766479113</v>
      </c>
      <c r="J49" s="3">
        <f>[2]INPUTS!O18</f>
        <v>38624.400000000001</v>
      </c>
      <c r="K49" s="3">
        <f>[1]GEOMETRY_PROCESSING!F18</f>
        <v>1684.7492195570326</v>
      </c>
      <c r="L49" s="3">
        <f>[1]GEOMETRY_PROCESSING!G18</f>
        <v>47.292512766479113</v>
      </c>
      <c r="M49" s="3">
        <f>[2]INPUTS!O17</f>
        <v>38624.400000000001</v>
      </c>
      <c r="N49" s="3">
        <f>[1]GEOMETRY_PROCESSING!F17</f>
        <v>1692.782738277491</v>
      </c>
      <c r="O49" s="3">
        <f>[1]GEOMETRY_PROCESSING!G17</f>
        <v>177.6532211708313</v>
      </c>
      <c r="P49" s="3">
        <v>5</v>
      </c>
      <c r="Q49" s="3">
        <f>P49</f>
        <v>5</v>
      </c>
      <c r="R49" s="2">
        <v>7839.0797929999999</v>
      </c>
      <c r="S49" s="2">
        <f>R49*P49</f>
        <v>39195.398965</v>
      </c>
      <c r="T49" s="1"/>
    </row>
    <row r="50" spans="1:20" ht="15" x14ac:dyDescent="0.25">
      <c r="A50" s="5"/>
      <c r="B50" s="2" t="s">
        <v>4</v>
      </c>
      <c r="C50" s="2">
        <f>S50*0.00283</f>
        <v>119.24174019990001</v>
      </c>
      <c r="D50" s="3">
        <f>[2]INPUTS!O18-60</f>
        <v>38564.400000000001</v>
      </c>
      <c r="E50" s="3">
        <f>[1]GEOMETRY_PROCESSING!F18</f>
        <v>1684.7492195570326</v>
      </c>
      <c r="F50" s="3">
        <f>[1]GEOMETRY_PROCESSING!G18</f>
        <v>47.292512766479113</v>
      </c>
      <c r="G50" s="3">
        <f>[2]INPUTS!O19-60</f>
        <v>38564.400000000001</v>
      </c>
      <c r="H50" s="3">
        <f>[1]GEOMETRY_PROCESSING!F19</f>
        <v>1662.5886078409465</v>
      </c>
      <c r="I50" s="3">
        <f>[1]GEOMETRY_PROCESSING!G19</f>
        <v>-91.43586223048284</v>
      </c>
      <c r="J50" s="3">
        <f>[2]INPUTS!O19</f>
        <v>38624.400000000001</v>
      </c>
      <c r="K50" s="3">
        <f>[1]GEOMETRY_PROCESSING!F19</f>
        <v>1662.5886078409465</v>
      </c>
      <c r="L50" s="3">
        <f>[1]GEOMETRY_PROCESSING!G19</f>
        <v>-91.43586223048284</v>
      </c>
      <c r="M50" s="3">
        <f>[2]INPUTS!O18</f>
        <v>38624.400000000001</v>
      </c>
      <c r="N50" s="3">
        <f>[1]GEOMETRY_PROCESSING!F18</f>
        <v>1684.7492195570326</v>
      </c>
      <c r="O50" s="3">
        <f>[1]GEOMETRY_PROCESSING!G18</f>
        <v>47.292512766479113</v>
      </c>
      <c r="P50" s="3">
        <v>5</v>
      </c>
      <c r="Q50" s="3">
        <f>P50</f>
        <v>5</v>
      </c>
      <c r="R50" s="2">
        <v>8426.9781060000005</v>
      </c>
      <c r="S50" s="2">
        <f>R50*P50</f>
        <v>42134.890530000004</v>
      </c>
      <c r="T50" s="1"/>
    </row>
    <row r="51" spans="1:20" ht="15" x14ac:dyDescent="0.25">
      <c r="A51" s="5"/>
      <c r="B51" s="2" t="s">
        <v>3</v>
      </c>
      <c r="C51" s="2">
        <f>S51*0.00283</f>
        <v>107.69617707335</v>
      </c>
      <c r="D51" s="3">
        <f>[2]INPUTS!O19-60</f>
        <v>38564.400000000001</v>
      </c>
      <c r="E51" s="3">
        <f>[1]GEOMETRY_PROCESSING!F19</f>
        <v>1662.5886078409465</v>
      </c>
      <c r="F51" s="3">
        <f>[1]GEOMETRY_PROCESSING!G19</f>
        <v>-91.43586223048284</v>
      </c>
      <c r="G51" s="3">
        <f>[2]INPUTS!O20-60</f>
        <v>38564.400000000001</v>
      </c>
      <c r="H51" s="3">
        <f>[1]GEOMETRY_PROCESSING!F20</f>
        <v>1630.7647300423334</v>
      </c>
      <c r="I51" s="3">
        <f>[1]GEOMETRY_PROCESSING!G20</f>
        <v>-214.21967873411859</v>
      </c>
      <c r="J51" s="3">
        <f>[2]INPUTS!O20</f>
        <v>38624.400000000001</v>
      </c>
      <c r="K51" s="3">
        <f>[1]GEOMETRY_PROCESSING!F20</f>
        <v>1630.7647300423334</v>
      </c>
      <c r="L51" s="3">
        <f>[1]GEOMETRY_PROCESSING!G20</f>
        <v>-214.21967873411859</v>
      </c>
      <c r="M51" s="3">
        <f>[2]INPUTS!O19</f>
        <v>38624.400000000001</v>
      </c>
      <c r="N51" s="3">
        <f>[1]GEOMETRY_PROCESSING!F19</f>
        <v>1662.5886078409465</v>
      </c>
      <c r="O51" s="3">
        <f>[1]GEOMETRY_PROCESSING!G19</f>
        <v>-91.43586223048284</v>
      </c>
      <c r="P51" s="3">
        <v>5</v>
      </c>
      <c r="Q51" s="3">
        <f>P51</f>
        <v>5</v>
      </c>
      <c r="R51" s="2">
        <v>7611.037249</v>
      </c>
      <c r="S51" s="2">
        <f>R51*P51</f>
        <v>38055.186244999997</v>
      </c>
      <c r="T51" s="1"/>
    </row>
    <row r="52" spans="1:20" ht="15" x14ac:dyDescent="0.25">
      <c r="A52" s="5"/>
      <c r="B52" s="2" t="s">
        <v>2</v>
      </c>
      <c r="C52" s="2">
        <f>S52*0.00283</f>
        <v>123.83089201435</v>
      </c>
      <c r="D52" s="3">
        <f>[2]INPUTS!O20-60</f>
        <v>38564.400000000001</v>
      </c>
      <c r="E52" s="3">
        <f>[1]GEOMETRY_PROCESSING!F20</f>
        <v>1630.7647300423334</v>
      </c>
      <c r="F52" s="3">
        <f>[1]GEOMETRY_PROCESSING!G20</f>
        <v>-214.21967873411859</v>
      </c>
      <c r="G52" s="3">
        <f>[2]INPUTS!O21-60</f>
        <v>38564.400000000001</v>
      </c>
      <c r="H52" s="3">
        <f>[1]GEOMETRY_PROCESSING!F21</f>
        <v>1582.9798177515424</v>
      </c>
      <c r="I52" s="3">
        <f>[1]GEOMETRY_PROCESSING!G21</f>
        <v>-351.96929554815819</v>
      </c>
      <c r="J52" s="3">
        <f>[2]INPUTS!O21</f>
        <v>38624.400000000001</v>
      </c>
      <c r="K52" s="3">
        <f>[1]GEOMETRY_PROCESSING!F21</f>
        <v>1582.9798177515424</v>
      </c>
      <c r="L52" s="3">
        <f>[1]GEOMETRY_PROCESSING!G21</f>
        <v>-351.96929554815819</v>
      </c>
      <c r="M52" s="3">
        <f>[2]INPUTS!O20</f>
        <v>38624.400000000001</v>
      </c>
      <c r="N52" s="3">
        <f>[1]GEOMETRY_PROCESSING!F20</f>
        <v>1630.7647300423334</v>
      </c>
      <c r="O52" s="3">
        <f>[1]GEOMETRY_PROCESSING!G20</f>
        <v>-214.21967873411859</v>
      </c>
      <c r="P52" s="3">
        <v>5</v>
      </c>
      <c r="Q52" s="3">
        <f>P52</f>
        <v>5</v>
      </c>
      <c r="R52" s="2">
        <v>8751.2997890000006</v>
      </c>
      <c r="S52" s="2">
        <f>R52*P52</f>
        <v>43756.498944999999</v>
      </c>
      <c r="T52" s="1"/>
    </row>
    <row r="53" spans="1:20" ht="15" x14ac:dyDescent="0.25">
      <c r="A53" s="5"/>
      <c r="B53" s="2" t="s">
        <v>1</v>
      </c>
      <c r="C53" s="2">
        <f>S53*0.00283</f>
        <v>111.48052153105</v>
      </c>
      <c r="D53" s="3">
        <f>[2]INPUTS!O21-60</f>
        <v>38564.400000000001</v>
      </c>
      <c r="E53" s="3">
        <f>[1]GEOMETRY_PROCESSING!F21</f>
        <v>1582.9798177515424</v>
      </c>
      <c r="F53" s="3">
        <f>[1]GEOMETRY_PROCESSING!G21</f>
        <v>-351.96929554815819</v>
      </c>
      <c r="G53" s="3">
        <f>[2]INPUTS!O22-60</f>
        <v>38564.400000000001</v>
      </c>
      <c r="H53" s="3">
        <f>[1]GEOMETRY_PROCESSING!F22</f>
        <v>1528.7553922730899</v>
      </c>
      <c r="I53" s="3">
        <f>[1]GEOMETRY_PROCESSING!G22</f>
        <v>-471.6491426834524</v>
      </c>
      <c r="J53" s="3">
        <f>[2]INPUTS!O22</f>
        <v>38624.400000000001</v>
      </c>
      <c r="K53" s="3">
        <f>[1]GEOMETRY_PROCESSING!F22</f>
        <v>1528.7553922730899</v>
      </c>
      <c r="L53" s="3">
        <f>[1]GEOMETRY_PROCESSING!G22</f>
        <v>-471.6491426834524</v>
      </c>
      <c r="M53" s="3">
        <f>[2]INPUTS!O21</f>
        <v>38624.400000000001</v>
      </c>
      <c r="N53" s="3">
        <f>[1]GEOMETRY_PROCESSING!F21</f>
        <v>1582.9798177515424</v>
      </c>
      <c r="O53" s="3">
        <f>[1]GEOMETRY_PROCESSING!G21</f>
        <v>-351.96929554815819</v>
      </c>
      <c r="P53" s="3">
        <v>5</v>
      </c>
      <c r="Q53" s="3">
        <f>P53</f>
        <v>5</v>
      </c>
      <c r="R53" s="2">
        <v>7878.4820870000003</v>
      </c>
      <c r="S53" s="2">
        <f>R53*P53</f>
        <v>39392.410434999998</v>
      </c>
      <c r="T53" s="1"/>
    </row>
    <row r="54" spans="1:20" ht="15" x14ac:dyDescent="0.25">
      <c r="A54" s="4"/>
      <c r="B54" s="2" t="s">
        <v>0</v>
      </c>
      <c r="C54" s="2">
        <f>S54*0.00283</f>
        <v>105.80556693375001</v>
      </c>
      <c r="D54" s="3">
        <f>[2]INPUTS!O22-60</f>
        <v>38564.400000000001</v>
      </c>
      <c r="E54" s="3">
        <f>[1]GEOMETRY_PROCESSING!F22</f>
        <v>1528.7553922730899</v>
      </c>
      <c r="F54" s="3">
        <f>[1]GEOMETRY_PROCESSING!G22</f>
        <v>-471.6491426834524</v>
      </c>
      <c r="G54" s="3">
        <f>[2]INPUTS!O23-60</f>
        <v>38564.400000000001</v>
      </c>
      <c r="H54" s="3">
        <f>[1]GEOMETRY_PROCESSING!F23</f>
        <v>1477.983219010149</v>
      </c>
      <c r="I54" s="3">
        <f>[1]GEOMETRY_PROCESSING!G23</f>
        <v>-585.37109803224689</v>
      </c>
      <c r="J54" s="3">
        <f>[2]INPUTS!O23</f>
        <v>38624.400000000001</v>
      </c>
      <c r="K54" s="3">
        <f>[1]GEOMETRY_PROCESSING!F23</f>
        <v>1477.983219010149</v>
      </c>
      <c r="L54" s="3">
        <f>[1]GEOMETRY_PROCESSING!G23</f>
        <v>-585.37109803224689</v>
      </c>
      <c r="M54" s="3">
        <f>[2]INPUTS!O22</f>
        <v>38624.400000000001</v>
      </c>
      <c r="N54" s="3">
        <f>[1]GEOMETRY_PROCESSING!F22</f>
        <v>1528.7553922730899</v>
      </c>
      <c r="O54" s="3">
        <f>[1]GEOMETRY_PROCESSING!G22</f>
        <v>-471.6491426834524</v>
      </c>
      <c r="P54" s="3">
        <v>5</v>
      </c>
      <c r="Q54" s="3">
        <f>P54</f>
        <v>5</v>
      </c>
      <c r="R54" s="2">
        <v>7477.425225</v>
      </c>
      <c r="S54" s="2">
        <f>R54*P54</f>
        <v>37387.126125000003</v>
      </c>
      <c r="T54" s="1"/>
    </row>
    <row r="55" spans="1:20" ht="15" x14ac:dyDescent="0.25">
      <c r="A55" s="6" t="s">
        <v>51</v>
      </c>
      <c r="B55" s="2" t="s">
        <v>50</v>
      </c>
      <c r="C55" s="2">
        <f>S55*0.00283</f>
        <v>316.89094799999998</v>
      </c>
      <c r="D55" s="3">
        <f>[2]INPUTS!T6</f>
        <v>39604.400000000001</v>
      </c>
      <c r="E55" s="3">
        <f>[2]INPUTS!U6</f>
        <v>993.2</v>
      </c>
      <c r="F55" s="3">
        <f>[2]INPUTS!V6</f>
        <v>1653.7</v>
      </c>
      <c r="G55" s="3">
        <f>[2]INPUTS!T7</f>
        <v>39604.400000000001</v>
      </c>
      <c r="H55" s="3">
        <f>[2]INPUTS!U7</f>
        <v>1126.3</v>
      </c>
      <c r="I55" s="3">
        <f>[2]INPUTS!V7</f>
        <v>1519.2</v>
      </c>
      <c r="J55" s="3">
        <f>[2]INPUTS!T7</f>
        <v>39604.400000000001</v>
      </c>
      <c r="K55" s="3">
        <f>[1]GEOMETRY_PROCESSING!M7</f>
        <v>1051.8553061747486</v>
      </c>
      <c r="L55" s="3">
        <f>[1]GEOMETRY_PROCESSING!N7</f>
        <v>1418.7859195069507</v>
      </c>
      <c r="M55" s="3">
        <f>[2]INPUTS!T6</f>
        <v>39604.400000000001</v>
      </c>
      <c r="N55" s="3">
        <f>[1]GEOMETRY_PROCESSING!M6</f>
        <v>928.8413430663303</v>
      </c>
      <c r="O55" s="3">
        <f>[1]GEOMETRY_PROCESSING!N6</f>
        <v>1546.5414106210137</v>
      </c>
      <c r="P55" s="3">
        <v>5</v>
      </c>
      <c r="Q55" s="3">
        <f>P55</f>
        <v>5</v>
      </c>
      <c r="R55" s="2">
        <v>22395.119999999999</v>
      </c>
      <c r="S55" s="2">
        <f>R55*P55</f>
        <v>111975.59999999999</v>
      </c>
      <c r="T55" s="1"/>
    </row>
    <row r="56" spans="1:20" ht="15" x14ac:dyDescent="0.25">
      <c r="A56" s="5"/>
      <c r="B56" s="2" t="s">
        <v>49</v>
      </c>
      <c r="C56" s="2">
        <f>S56*0.00283</f>
        <v>210.8181615</v>
      </c>
      <c r="D56" s="3">
        <f>[2]INPUTS!T7</f>
        <v>39604.400000000001</v>
      </c>
      <c r="E56" s="3">
        <f>[2]INPUTS!U7</f>
        <v>1126.3</v>
      </c>
      <c r="F56" s="3">
        <f>[2]INPUTS!V7</f>
        <v>1519.2</v>
      </c>
      <c r="G56" s="3">
        <f>[2]INPUTS!T8</f>
        <v>39604.400000000001</v>
      </c>
      <c r="H56" s="3">
        <f>[2]INPUTS!U8</f>
        <v>1216.7</v>
      </c>
      <c r="I56" s="3">
        <f>[2]INPUTS!V8</f>
        <v>1434.6</v>
      </c>
      <c r="J56" s="3">
        <f>[2]INPUTS!T8</f>
        <v>39604.400000000001</v>
      </c>
      <c r="K56" s="3">
        <f>[1]GEOMETRY_PROCESSING!M8</f>
        <v>1135.8485439414455</v>
      </c>
      <c r="L56" s="3">
        <f>[1]GEOMETRY_PROCESSING!N8</f>
        <v>1339.2687771335559</v>
      </c>
      <c r="M56" s="3">
        <f>[2]INPUTS!T7</f>
        <v>39604.400000000001</v>
      </c>
      <c r="N56" s="3">
        <f>[1]GEOMETRY_PROCESSING!M7</f>
        <v>1051.8553061747486</v>
      </c>
      <c r="O56" s="3">
        <f>[1]GEOMETRY_PROCESSING!N7</f>
        <v>1418.7859195069507</v>
      </c>
      <c r="P56" s="3">
        <v>5</v>
      </c>
      <c r="Q56" s="3">
        <f>P56</f>
        <v>5</v>
      </c>
      <c r="R56" s="2">
        <v>14898.81</v>
      </c>
      <c r="S56" s="2">
        <f>R56*P56</f>
        <v>74494.05</v>
      </c>
      <c r="T56" s="1"/>
    </row>
    <row r="57" spans="1:20" ht="15" x14ac:dyDescent="0.25">
      <c r="A57" s="5"/>
      <c r="B57" s="2" t="s">
        <v>48</v>
      </c>
      <c r="C57" s="2">
        <f>S57*0.00283</f>
        <v>246.16663025000003</v>
      </c>
      <c r="D57" s="3">
        <f>[2]INPUTS!T8</f>
        <v>39604.400000000001</v>
      </c>
      <c r="E57" s="3">
        <f>[2]INPUTS!U8</f>
        <v>1216.7</v>
      </c>
      <c r="F57" s="3">
        <f>[2]INPUTS!V8</f>
        <v>1434.6</v>
      </c>
      <c r="G57" s="3">
        <f>[2]INPUTS!T9</f>
        <v>39604.400000000001</v>
      </c>
      <c r="H57" s="3">
        <f>[2]INPUTS!U9</f>
        <v>1313.7</v>
      </c>
      <c r="I57" s="3">
        <f>[2]INPUTS!V9</f>
        <v>1327.2</v>
      </c>
      <c r="J57" s="3">
        <f>[2]INPUTS!T9</f>
        <v>39604.400000000001</v>
      </c>
      <c r="K57" s="3">
        <f>[1]GEOMETRY_PROCESSING!M9</f>
        <v>1225.7646331188776</v>
      </c>
      <c r="L57" s="3">
        <f>[1]GEOMETRY_PROCESSING!N9</f>
        <v>1238.3609812555183</v>
      </c>
      <c r="M57" s="3">
        <f>[2]INPUTS!T8</f>
        <v>39604.400000000001</v>
      </c>
      <c r="N57" s="3">
        <f>[1]GEOMETRY_PROCESSING!M8</f>
        <v>1135.8485439414455</v>
      </c>
      <c r="O57" s="3">
        <f>[1]GEOMETRY_PROCESSING!N8</f>
        <v>1339.2687771335559</v>
      </c>
      <c r="P57" s="3">
        <v>5</v>
      </c>
      <c r="Q57" s="3">
        <f>P57</f>
        <v>5</v>
      </c>
      <c r="R57" s="2">
        <v>17396.935000000001</v>
      </c>
      <c r="S57" s="2">
        <f>R57*P57</f>
        <v>86984.675000000003</v>
      </c>
      <c r="T57" s="1"/>
    </row>
    <row r="58" spans="1:20" ht="15" x14ac:dyDescent="0.25">
      <c r="A58" s="5"/>
      <c r="B58" s="2" t="s">
        <v>47</v>
      </c>
      <c r="C58" s="2">
        <f>S58*0.00283</f>
        <v>295.87968375000003</v>
      </c>
      <c r="D58" s="3">
        <f>[2]INPUTS!T9</f>
        <v>39604.400000000001</v>
      </c>
      <c r="E58" s="3">
        <f>[2]INPUTS!U9</f>
        <v>1313.7</v>
      </c>
      <c r="F58" s="3">
        <f>[2]INPUTS!V9</f>
        <v>1327.2</v>
      </c>
      <c r="G58" s="3">
        <f>[2]INPUTS!T10</f>
        <v>39604.400000000001</v>
      </c>
      <c r="H58" s="3">
        <f>[2]INPUTS!U10</f>
        <v>1417.6</v>
      </c>
      <c r="I58" s="3">
        <f>[2]INPUTS!V10</f>
        <v>1187.3</v>
      </c>
      <c r="J58" s="3">
        <f>[2]INPUTS!T10</f>
        <v>39604.400000000001</v>
      </c>
      <c r="K58" s="3">
        <f>[1]GEOMETRY_PROCESSING!M10</f>
        <v>1321.7710007211492</v>
      </c>
      <c r="L58" s="3">
        <f>[1]GEOMETRY_PROCESSING!N10</f>
        <v>1107.0391571361602</v>
      </c>
      <c r="M58" s="3">
        <f>[2]INPUTS!T9</f>
        <v>39604.400000000001</v>
      </c>
      <c r="N58" s="3">
        <f>[1]GEOMETRY_PROCESSING!M9</f>
        <v>1225.7646331188776</v>
      </c>
      <c r="O58" s="3">
        <f>[1]GEOMETRY_PROCESSING!N9</f>
        <v>1238.3609812555183</v>
      </c>
      <c r="P58" s="3">
        <v>5</v>
      </c>
      <c r="Q58" s="3">
        <f>P58</f>
        <v>5</v>
      </c>
      <c r="R58" s="2">
        <v>20910.224999999999</v>
      </c>
      <c r="S58" s="2">
        <f>R58*P58</f>
        <v>104551.125</v>
      </c>
      <c r="T58" s="1"/>
    </row>
    <row r="59" spans="1:20" ht="15" x14ac:dyDescent="0.25">
      <c r="A59" s="5"/>
      <c r="B59" s="2" t="s">
        <v>46</v>
      </c>
      <c r="C59" s="2">
        <f>S59*0.00283</f>
        <v>213.15800550000003</v>
      </c>
      <c r="D59" s="3">
        <f>[2]INPUTS!T10</f>
        <v>39604.400000000001</v>
      </c>
      <c r="E59" s="3">
        <f>[2]INPUTS!U10</f>
        <v>1417.6</v>
      </c>
      <c r="F59" s="3">
        <f>[2]INPUTS!V10</f>
        <v>1187.3</v>
      </c>
      <c r="G59" s="3">
        <f>[2]INPUTS!T11</f>
        <v>39604.400000000001</v>
      </c>
      <c r="H59" s="3">
        <f>[2]INPUTS!U11</f>
        <v>1482.4</v>
      </c>
      <c r="I59" s="3">
        <f>[2]INPUTS!V11</f>
        <v>1079.5</v>
      </c>
      <c r="J59" s="3">
        <f>[2]INPUTS!T11</f>
        <v>39604.400000000001</v>
      </c>
      <c r="K59" s="3">
        <f>[1]GEOMETRY_PROCESSING!M11</f>
        <v>1381.3531075159215</v>
      </c>
      <c r="L59" s="3">
        <f>[1]GEOMETRY_PROCESSING!N11</f>
        <v>1005.9165404502407</v>
      </c>
      <c r="M59" s="3">
        <f>[2]INPUTS!T10</f>
        <v>39604.400000000001</v>
      </c>
      <c r="N59" s="3">
        <f>[1]GEOMETRY_PROCESSING!M10</f>
        <v>1321.7710007211492</v>
      </c>
      <c r="O59" s="3">
        <f>[1]GEOMETRY_PROCESSING!N10</f>
        <v>1107.0391571361602</v>
      </c>
      <c r="P59" s="3">
        <v>5</v>
      </c>
      <c r="Q59" s="3">
        <f>P59</f>
        <v>5</v>
      </c>
      <c r="R59" s="2">
        <v>15064.17</v>
      </c>
      <c r="S59" s="2">
        <f>R59*P59</f>
        <v>75320.850000000006</v>
      </c>
      <c r="T59" s="1"/>
    </row>
    <row r="60" spans="1:20" ht="15" x14ac:dyDescent="0.25">
      <c r="A60" s="5"/>
      <c r="B60" s="2" t="s">
        <v>45</v>
      </c>
      <c r="C60" s="2">
        <f>S60*0.00283</f>
        <v>242.23795350000003</v>
      </c>
      <c r="D60" s="3">
        <f>[2]INPUTS!T11</f>
        <v>39604.400000000001</v>
      </c>
      <c r="E60" s="3">
        <f>[2]INPUTS!U11</f>
        <v>1482.4</v>
      </c>
      <c r="F60" s="3">
        <f>[2]INPUTS!V11</f>
        <v>1079.5</v>
      </c>
      <c r="G60" s="3">
        <f>[2]INPUTS!T12</f>
        <v>39604.400000000001</v>
      </c>
      <c r="H60" s="3">
        <f>[2]INPUTS!U12</f>
        <v>1545.2</v>
      </c>
      <c r="I60" s="3">
        <f>[2]INPUTS!V12</f>
        <v>950.7</v>
      </c>
      <c r="J60" s="3">
        <f>[2]INPUTS!T12</f>
        <v>39604.400000000001</v>
      </c>
      <c r="K60" s="3">
        <f>[1]GEOMETRY_PROCESSING!M12</f>
        <v>1438.7367967424452</v>
      </c>
      <c r="L60" s="3">
        <f>[1]GEOMETRY_PROCESSING!N12</f>
        <v>885.19743247672966</v>
      </c>
      <c r="M60" s="3">
        <f>[2]INPUTS!T11</f>
        <v>39604.400000000001</v>
      </c>
      <c r="N60" s="3">
        <f>[1]GEOMETRY_PROCESSING!M11</f>
        <v>1381.3531075159215</v>
      </c>
      <c r="O60" s="3">
        <f>[1]GEOMETRY_PROCESSING!N11</f>
        <v>1005.9165404502407</v>
      </c>
      <c r="P60" s="3">
        <v>5</v>
      </c>
      <c r="Q60" s="3">
        <f>P60</f>
        <v>5</v>
      </c>
      <c r="R60" s="2">
        <v>17119.29</v>
      </c>
      <c r="S60" s="2">
        <f>R60*P60</f>
        <v>85596.450000000012</v>
      </c>
      <c r="T60" s="1"/>
    </row>
    <row r="61" spans="1:20" ht="15" x14ac:dyDescent="0.25">
      <c r="A61" s="5"/>
      <c r="B61" s="2" t="s">
        <v>44</v>
      </c>
      <c r="C61" s="2">
        <f>S61*0.00283</f>
        <v>221.17638600000001</v>
      </c>
      <c r="D61" s="3">
        <f>[2]INPUTS!T12</f>
        <v>39604.400000000001</v>
      </c>
      <c r="E61" s="3">
        <f>[2]INPUTS!U12</f>
        <v>1545.2</v>
      </c>
      <c r="F61" s="3">
        <f>[2]INPUTS!V12</f>
        <v>950.7</v>
      </c>
      <c r="G61" s="3">
        <f>[2]INPUTS!T13</f>
        <v>39604.400000000001</v>
      </c>
      <c r="H61" s="3">
        <f>[2]INPUTS!U13</f>
        <v>1590.1</v>
      </c>
      <c r="I61" s="3">
        <f>[2]INPUTS!V13</f>
        <v>827.2</v>
      </c>
      <c r="J61" s="3">
        <f>[2]INPUTS!T13</f>
        <v>39604.400000000001</v>
      </c>
      <c r="K61" s="3">
        <f>[1]GEOMETRY_PROCESSING!M13</f>
        <v>1479.2078353622628</v>
      </c>
      <c r="L61" s="3">
        <f>[1]GEOMETRY_PROCESSING!N13</f>
        <v>769.51180517682155</v>
      </c>
      <c r="M61" s="3">
        <f>[2]INPUTS!T12</f>
        <v>39604.400000000001</v>
      </c>
      <c r="N61" s="3">
        <f>[1]GEOMETRY_PROCESSING!M12</f>
        <v>1438.7367967424452</v>
      </c>
      <c r="O61" s="3">
        <f>[1]GEOMETRY_PROCESSING!N12</f>
        <v>885.19743247672966</v>
      </c>
      <c r="P61" s="3">
        <v>5</v>
      </c>
      <c r="Q61" s="3">
        <f>P61</f>
        <v>5</v>
      </c>
      <c r="R61" s="2">
        <v>15630.84</v>
      </c>
      <c r="S61" s="2">
        <f>R61*P61</f>
        <v>78154.2</v>
      </c>
      <c r="T61" s="1"/>
    </row>
    <row r="62" spans="1:20" ht="15" x14ac:dyDescent="0.25">
      <c r="A62" s="5"/>
      <c r="B62" s="2" t="s">
        <v>43</v>
      </c>
      <c r="C62" s="2">
        <f>S62*0.00283</f>
        <v>267.25048399999997</v>
      </c>
      <c r="D62" s="3">
        <f>[2]INPUTS!T13</f>
        <v>39604.400000000001</v>
      </c>
      <c r="E62" s="3">
        <f>[2]INPUTS!U13</f>
        <v>1590.1</v>
      </c>
      <c r="F62" s="3">
        <f>[2]INPUTS!V13</f>
        <v>827.2</v>
      </c>
      <c r="G62" s="3">
        <f>[2]INPUTS!T14</f>
        <v>39604.400000000001</v>
      </c>
      <c r="H62" s="3">
        <f>[2]INPUTS!U14</f>
        <v>1628.8</v>
      </c>
      <c r="I62" s="3">
        <f>[2]INPUTS!V14</f>
        <v>672.3</v>
      </c>
      <c r="J62" s="3">
        <f>[2]INPUTS!T14</f>
        <v>39604.400000000001</v>
      </c>
      <c r="K62" s="3">
        <f>[1]GEOMETRY_PROCESSING!M14</f>
        <v>1513.2556805919448</v>
      </c>
      <c r="L62" s="3">
        <f>[1]GEOMETRY_PROCESSING!N14</f>
        <v>624.60817415395661</v>
      </c>
      <c r="M62" s="3">
        <f>[2]INPUTS!T13</f>
        <v>39604.400000000001</v>
      </c>
      <c r="N62" s="3">
        <f>[1]GEOMETRY_PROCESSING!M13</f>
        <v>1479.2078353622628</v>
      </c>
      <c r="O62" s="3">
        <f>[1]GEOMETRY_PROCESSING!N13</f>
        <v>769.51180517682155</v>
      </c>
      <c r="P62" s="3">
        <v>5</v>
      </c>
      <c r="Q62" s="3">
        <f>P62</f>
        <v>5</v>
      </c>
      <c r="R62" s="2">
        <v>18886.96</v>
      </c>
      <c r="S62" s="2">
        <f>R62*P62</f>
        <v>94434.799999999988</v>
      </c>
      <c r="T62" s="1"/>
    </row>
    <row r="63" spans="1:20" ht="15" x14ac:dyDescent="0.25">
      <c r="A63" s="5"/>
      <c r="B63" s="2" t="s">
        <v>42</v>
      </c>
      <c r="C63" s="2">
        <f>S63*0.00283</f>
        <v>268.51825324999999</v>
      </c>
      <c r="D63" s="3">
        <f>[2]INPUTS!T14</f>
        <v>39604.400000000001</v>
      </c>
      <c r="E63" s="3">
        <f>[2]INPUTS!U14</f>
        <v>1628.8</v>
      </c>
      <c r="F63" s="3">
        <f>[2]INPUTS!V14</f>
        <v>672.3</v>
      </c>
      <c r="G63" s="3">
        <f>[2]INPUTS!T15</f>
        <v>39604.400000000001</v>
      </c>
      <c r="H63" s="3">
        <f>[2]INPUTS!U15</f>
        <v>1652</v>
      </c>
      <c r="I63" s="3">
        <f>[2]INPUTS!V15</f>
        <v>513.1</v>
      </c>
      <c r="J63" s="3">
        <f>[2]INPUTS!T15</f>
        <v>39604.400000000001</v>
      </c>
      <c r="K63" s="3">
        <f>[1]GEOMETRY_PROCESSING!M15</f>
        <v>1532.6253797989684</v>
      </c>
      <c r="L63" s="3">
        <f>[1]GEOMETRY_PROCESSING!N15</f>
        <v>476.02305228501859</v>
      </c>
      <c r="M63" s="3">
        <f>[2]INPUTS!T14</f>
        <v>39604.400000000001</v>
      </c>
      <c r="N63" s="3">
        <f>[1]GEOMETRY_PROCESSING!M14</f>
        <v>1513.2556805919448</v>
      </c>
      <c r="O63" s="3">
        <f>[1]GEOMETRY_PROCESSING!N14</f>
        <v>624.60817415395661</v>
      </c>
      <c r="P63" s="3">
        <v>5</v>
      </c>
      <c r="Q63" s="3">
        <f>P63</f>
        <v>5</v>
      </c>
      <c r="R63" s="2">
        <v>18976.555</v>
      </c>
      <c r="S63" s="2">
        <f>R63*P63</f>
        <v>94882.774999999994</v>
      </c>
      <c r="T63" s="1"/>
    </row>
    <row r="64" spans="1:20" ht="15" x14ac:dyDescent="0.25">
      <c r="A64" s="5"/>
      <c r="B64" s="2" t="s">
        <v>41</v>
      </c>
      <c r="C64" s="2">
        <f>S64*0.00283</f>
        <v>265.40815399999997</v>
      </c>
      <c r="D64" s="3">
        <f>[2]INPUTS!T15</f>
        <v>39604.400000000001</v>
      </c>
      <c r="E64" s="3">
        <f>[2]INPUTS!U15</f>
        <v>1652</v>
      </c>
      <c r="F64" s="3">
        <f>[2]INPUTS!V15</f>
        <v>513.1</v>
      </c>
      <c r="G64" s="3">
        <f>[2]INPUTS!T16</f>
        <v>39604.400000000001</v>
      </c>
      <c r="H64" s="3">
        <f>[2]INPUTS!U16</f>
        <v>1661.7</v>
      </c>
      <c r="I64" s="3">
        <f>[2]INPUTS!V16</f>
        <v>354.5</v>
      </c>
      <c r="J64" s="3">
        <f>[2]INPUTS!T16</f>
        <v>39604.400000000001</v>
      </c>
      <c r="K64" s="3">
        <f>[1]GEOMETRY_PROCESSING!M16</f>
        <v>1539.4509554931237</v>
      </c>
      <c r="L64" s="3">
        <f>[1]GEOMETRY_PROCESSING!N16</f>
        <v>328.41990956388781</v>
      </c>
      <c r="M64" s="3">
        <f>[2]INPUTS!T15</f>
        <v>39604.400000000001</v>
      </c>
      <c r="N64" s="3">
        <f>[1]GEOMETRY_PROCESSING!M15</f>
        <v>1532.6253797989684</v>
      </c>
      <c r="O64" s="3">
        <f>[1]GEOMETRY_PROCESSING!N15</f>
        <v>476.02305228501859</v>
      </c>
      <c r="P64" s="3">
        <v>5</v>
      </c>
      <c r="Q64" s="3">
        <f>P64</f>
        <v>5</v>
      </c>
      <c r="R64" s="2">
        <v>18756.759999999998</v>
      </c>
      <c r="S64" s="2">
        <f>R64*P64</f>
        <v>93783.799999999988</v>
      </c>
      <c r="T64" s="1"/>
    </row>
    <row r="65" spans="1:20" ht="15" x14ac:dyDescent="0.25">
      <c r="A65" s="5"/>
      <c r="B65" s="2" t="s">
        <v>40</v>
      </c>
      <c r="C65" s="2">
        <f>S65*0.00283</f>
        <v>272.88331600000004</v>
      </c>
      <c r="D65" s="3">
        <f>[2]INPUTS!T16</f>
        <v>39604.400000000001</v>
      </c>
      <c r="E65" s="3">
        <f>[2]INPUTS!U16</f>
        <v>1661.7</v>
      </c>
      <c r="F65" s="3">
        <f>[2]INPUTS!V16</f>
        <v>354.5</v>
      </c>
      <c r="G65" s="3">
        <f>[2]INPUTS!T17</f>
        <v>39604.400000000001</v>
      </c>
      <c r="H65" s="3">
        <f>[2]INPUTS!U17</f>
        <v>1662.3</v>
      </c>
      <c r="I65" s="3">
        <f>[2]INPUTS!V17</f>
        <v>192</v>
      </c>
      <c r="J65" s="3">
        <f>[2]INPUTS!T17</f>
        <v>39604.400000000001</v>
      </c>
      <c r="K65" s="3">
        <f>[1]GEOMETRY_PROCESSING!M17</f>
        <v>1538.1255523483728</v>
      </c>
      <c r="L65" s="3">
        <f>[1]GEOMETRY_PROCESSING!N17</f>
        <v>177.65752634956843</v>
      </c>
      <c r="M65" s="3">
        <f>[2]INPUTS!T16</f>
        <v>39604.400000000001</v>
      </c>
      <c r="N65" s="3">
        <f>[1]GEOMETRY_PROCESSING!M16</f>
        <v>1539.4509554931237</v>
      </c>
      <c r="O65" s="3">
        <f>[1]GEOMETRY_PROCESSING!N16</f>
        <v>328.41990956388781</v>
      </c>
      <c r="P65" s="3">
        <v>5</v>
      </c>
      <c r="Q65" s="3">
        <f>P65</f>
        <v>5</v>
      </c>
      <c r="R65" s="2">
        <v>19285.04</v>
      </c>
      <c r="S65" s="2">
        <f>R65*P65</f>
        <v>96425.200000000012</v>
      </c>
      <c r="T65" s="1"/>
    </row>
    <row r="66" spans="1:20" ht="15" x14ac:dyDescent="0.25">
      <c r="A66" s="5"/>
      <c r="B66" s="2" t="s">
        <v>39</v>
      </c>
      <c r="C66" s="2">
        <f>S66*0.00283</f>
        <v>238.34734024999997</v>
      </c>
      <c r="D66" s="3">
        <f>[2]INPUTS!T17</f>
        <v>39604.400000000001</v>
      </c>
      <c r="E66" s="3">
        <f>[2]INPUTS!U17</f>
        <v>1662.3</v>
      </c>
      <c r="F66" s="3">
        <f>[2]INPUTS!V17</f>
        <v>192</v>
      </c>
      <c r="G66" s="3">
        <f>[2]INPUTS!T18</f>
        <v>39604.400000000001</v>
      </c>
      <c r="H66" s="3">
        <f>[2]INPUTS!U18</f>
        <v>1652.9</v>
      </c>
      <c r="I66" s="3">
        <f>[2]INPUTS!V18</f>
        <v>50.8</v>
      </c>
      <c r="J66" s="3">
        <f>[2]INPUTS!T18</f>
        <v>39604.400000000001</v>
      </c>
      <c r="K66" s="3">
        <f>[1]GEOMETRY_PROCESSING!M18</f>
        <v>1527.9589938513384</v>
      </c>
      <c r="L66" s="3">
        <f>[1]GEOMETRY_PROCESSING!N18</f>
        <v>46.960080396665241</v>
      </c>
      <c r="M66" s="3">
        <f>[2]INPUTS!T17</f>
        <v>39604.400000000001</v>
      </c>
      <c r="N66" s="3">
        <f>[1]GEOMETRY_PROCESSING!M17</f>
        <v>1538.1255523483728</v>
      </c>
      <c r="O66" s="3">
        <f>[1]GEOMETRY_PROCESSING!N17</f>
        <v>177.65752634956843</v>
      </c>
      <c r="P66" s="3">
        <v>5</v>
      </c>
      <c r="Q66" s="3">
        <f>P66</f>
        <v>5</v>
      </c>
      <c r="R66" s="2">
        <v>16844.334999999999</v>
      </c>
      <c r="S66" s="2">
        <f>R66*P66</f>
        <v>84221.674999999988</v>
      </c>
      <c r="T66" s="1"/>
    </row>
    <row r="67" spans="1:20" ht="15" x14ac:dyDescent="0.25">
      <c r="A67" s="5"/>
      <c r="B67" s="2" t="s">
        <v>38</v>
      </c>
      <c r="C67" s="2">
        <f>S67*0.00283</f>
        <v>239.66024799999997</v>
      </c>
      <c r="D67" s="3">
        <f>[2]INPUTS!T18</f>
        <v>39604.400000000001</v>
      </c>
      <c r="E67" s="3">
        <f>[2]INPUTS!U18</f>
        <v>1652.9</v>
      </c>
      <c r="F67" s="3">
        <f>[2]INPUTS!V18</f>
        <v>50.8</v>
      </c>
      <c r="G67" s="3">
        <f>[2]INPUTS!T19</f>
        <v>39604.400000000001</v>
      </c>
      <c r="H67" s="3">
        <f>[2]INPUTS!U19</f>
        <v>1627.9</v>
      </c>
      <c r="I67" s="3">
        <f>[2]INPUTS!V19</f>
        <v>-89.9</v>
      </c>
      <c r="J67" s="3">
        <f>[2]INPUTS!T19</f>
        <v>39604.400000000001</v>
      </c>
      <c r="K67" s="3">
        <f>[1]GEOMETRY_PROCESSING!M19</f>
        <v>1503.090174364565</v>
      </c>
      <c r="L67" s="3">
        <f>[1]GEOMETRY_PROCESSING!N19</f>
        <v>-83.007436989602795</v>
      </c>
      <c r="M67" s="3">
        <f>[2]INPUTS!T18</f>
        <v>39604.400000000001</v>
      </c>
      <c r="N67" s="3">
        <f>[1]GEOMETRY_PROCESSING!M18</f>
        <v>1527.9589938513384</v>
      </c>
      <c r="O67" s="3">
        <f>[1]GEOMETRY_PROCESSING!N18</f>
        <v>46.960080396665241</v>
      </c>
      <c r="P67" s="3">
        <v>5</v>
      </c>
      <c r="Q67" s="3">
        <f>P67</f>
        <v>5</v>
      </c>
      <c r="R67" s="2">
        <v>16937.12</v>
      </c>
      <c r="S67" s="2">
        <f>R67*P67</f>
        <v>84685.599999999991</v>
      </c>
      <c r="T67" s="1"/>
    </row>
    <row r="68" spans="1:20" ht="15" x14ac:dyDescent="0.25">
      <c r="A68" s="5"/>
      <c r="B68" s="2" t="s">
        <v>37</v>
      </c>
      <c r="C68" s="2">
        <f>S68*0.00283</f>
        <v>244.96763000000001</v>
      </c>
      <c r="D68" s="3">
        <f>[2]INPUTS!T19</f>
        <v>39604.400000000001</v>
      </c>
      <c r="E68" s="3">
        <f>[2]INPUTS!U19</f>
        <v>1627.9</v>
      </c>
      <c r="F68" s="3">
        <f>[2]INPUTS!V19</f>
        <v>-89.9</v>
      </c>
      <c r="G68" s="3">
        <f>[2]INPUTS!T20</f>
        <v>39604.400000000001</v>
      </c>
      <c r="H68" s="3">
        <f>[2]INPUTS!U20</f>
        <v>1584.6</v>
      </c>
      <c r="I68" s="3">
        <f>[2]INPUTS!V20</f>
        <v>-230.5</v>
      </c>
      <c r="J68" s="3">
        <f>[2]INPUTS!T20</f>
        <v>39604.400000000001</v>
      </c>
      <c r="K68" s="3">
        <f>[1]GEOMETRY_PROCESSING!M20</f>
        <v>1460.9018366119258</v>
      </c>
      <c r="L68" s="3">
        <f>[1]GEOMETRY_PROCESSING!N20</f>
        <v>-212.50654634548081</v>
      </c>
      <c r="M68" s="3">
        <f>[2]INPUTS!T19</f>
        <v>39604.400000000001</v>
      </c>
      <c r="N68" s="3">
        <f>[1]GEOMETRY_PROCESSING!M19</f>
        <v>1503.090174364565</v>
      </c>
      <c r="O68" s="3">
        <f>[1]GEOMETRY_PROCESSING!N19</f>
        <v>-83.007436989602795</v>
      </c>
      <c r="P68" s="3">
        <v>5</v>
      </c>
      <c r="Q68" s="3">
        <f>P68</f>
        <v>5</v>
      </c>
      <c r="R68" s="2">
        <v>17312.2</v>
      </c>
      <c r="S68" s="2">
        <f>R68*P68</f>
        <v>86561</v>
      </c>
      <c r="T68" s="1"/>
    </row>
    <row r="69" spans="1:20" ht="15" x14ac:dyDescent="0.25">
      <c r="A69" s="5"/>
      <c r="B69" s="2" t="s">
        <v>36</v>
      </c>
      <c r="C69" s="2">
        <f>S69*0.00283</f>
        <v>228.21643550000002</v>
      </c>
      <c r="D69" s="3">
        <f>[2]INPUTS!T20</f>
        <v>39604.400000000001</v>
      </c>
      <c r="E69" s="3">
        <f>[2]INPUTS!U20</f>
        <v>1584.6</v>
      </c>
      <c r="F69" s="3">
        <f>[2]INPUTS!V20</f>
        <v>-230.5</v>
      </c>
      <c r="G69" s="3">
        <f>[2]INPUTS!T21</f>
        <v>39604.400000000001</v>
      </c>
      <c r="H69" s="3">
        <f>[2]INPUTS!U21</f>
        <v>1531</v>
      </c>
      <c r="I69" s="3">
        <f>[2]INPUTS!V21</f>
        <v>-357.2</v>
      </c>
      <c r="J69" s="3">
        <f>[2]INPUTS!T21</f>
        <v>39604.400000000001</v>
      </c>
      <c r="K69" s="3">
        <f>[1]GEOMETRY_PROCESSING!M21</f>
        <v>1409.2692623232501</v>
      </c>
      <c r="L69" s="3">
        <f>[1]GEOMETRY_PROCESSING!N21</f>
        <v>-328.7988115622893</v>
      </c>
      <c r="M69" s="3">
        <f>[2]INPUTS!T20</f>
        <v>39604.400000000001</v>
      </c>
      <c r="N69" s="3">
        <f>[1]GEOMETRY_PROCESSING!M20</f>
        <v>1460.9018366119258</v>
      </c>
      <c r="O69" s="3">
        <f>[1]GEOMETRY_PROCESSING!N20</f>
        <v>-212.50654634548081</v>
      </c>
      <c r="P69" s="3">
        <v>5</v>
      </c>
      <c r="Q69" s="3">
        <f>P69</f>
        <v>5</v>
      </c>
      <c r="R69" s="2">
        <v>16128.37</v>
      </c>
      <c r="S69" s="2">
        <f>R69*P69</f>
        <v>80641.850000000006</v>
      </c>
      <c r="T69" s="1"/>
    </row>
    <row r="70" spans="1:20" ht="15" x14ac:dyDescent="0.25">
      <c r="A70" s="5"/>
      <c r="B70" s="2" t="s">
        <v>35</v>
      </c>
      <c r="C70" s="2">
        <f>S70*0.00283</f>
        <v>283.29814050000004</v>
      </c>
      <c r="D70" s="3">
        <f>[2]INPUTS!T21</f>
        <v>39604.400000000001</v>
      </c>
      <c r="E70" s="3">
        <f>[2]INPUTS!U21</f>
        <v>1531</v>
      </c>
      <c r="F70" s="3">
        <f>[2]INPUTS!V21</f>
        <v>-357.2</v>
      </c>
      <c r="G70" s="3">
        <f>[2]INPUTS!T22</f>
        <v>39604.400000000001</v>
      </c>
      <c r="H70" s="3">
        <f>[2]INPUTS!U22</f>
        <v>1452.8</v>
      </c>
      <c r="I70" s="3">
        <f>[2]INPUTS!V22</f>
        <v>-508.5</v>
      </c>
      <c r="J70" s="3">
        <f>[2]INPUTS!T22</f>
        <v>39604.400000000001</v>
      </c>
      <c r="K70" s="3">
        <f>[1]GEOMETRY_PROCESSING!M22</f>
        <v>1334.8182118947632</v>
      </c>
      <c r="L70" s="3">
        <f>[1]GEOMETRY_PROCESSING!N22</f>
        <v>-467.20474996454232</v>
      </c>
      <c r="M70" s="3">
        <f>[2]INPUTS!T21</f>
        <v>39604.400000000001</v>
      </c>
      <c r="N70" s="3">
        <f>[1]GEOMETRY_PROCESSING!M21</f>
        <v>1409.2692623232501</v>
      </c>
      <c r="O70" s="3">
        <f>[1]GEOMETRY_PROCESSING!N21</f>
        <v>-328.7988115622893</v>
      </c>
      <c r="P70" s="3">
        <v>5</v>
      </c>
      <c r="Q70" s="3">
        <f>P70</f>
        <v>5</v>
      </c>
      <c r="R70" s="2">
        <v>20021.07</v>
      </c>
      <c r="S70" s="2">
        <f>R70*P70</f>
        <v>100105.35</v>
      </c>
      <c r="T70" s="1"/>
    </row>
    <row r="71" spans="1:20" ht="15" x14ac:dyDescent="0.25">
      <c r="A71" s="5"/>
      <c r="B71" s="2" t="s">
        <v>34</v>
      </c>
      <c r="C71" s="2">
        <f>S71*0.00283</f>
        <v>216.87513974999999</v>
      </c>
      <c r="D71" s="3">
        <f>[2]INPUTS!T22</f>
        <v>39604.400000000001</v>
      </c>
      <c r="E71" s="3">
        <f>[2]INPUTS!U22</f>
        <v>1452.8</v>
      </c>
      <c r="F71" s="3">
        <f>[2]INPUTS!V22</f>
        <v>-508.5</v>
      </c>
      <c r="G71" s="3">
        <f>[2]INPUTS!T23</f>
        <v>39604.400000000001</v>
      </c>
      <c r="H71" s="3">
        <f>[2]INPUTS!U23</f>
        <v>1391.2</v>
      </c>
      <c r="I71" s="3">
        <f>[2]INPUTS!V23</f>
        <v>-621.70000000000005</v>
      </c>
      <c r="J71" s="3">
        <f>[2]INPUTS!T23</f>
        <v>39604.400000000001</v>
      </c>
      <c r="K71" s="3">
        <f>[1]GEOMETRY_PROCESSING!M23</f>
        <v>1277.0769666860122</v>
      </c>
      <c r="L71" s="3">
        <f>[1]GEOMETRY_PROCESSING!N23</f>
        <v>-570.70065424719212</v>
      </c>
      <c r="M71" s="3">
        <f>[2]INPUTS!T22</f>
        <v>39604.400000000001</v>
      </c>
      <c r="N71" s="3">
        <f>[1]GEOMETRY_PROCESSING!M22</f>
        <v>1334.8182118947632</v>
      </c>
      <c r="O71" s="3">
        <f>[1]GEOMETRY_PROCESSING!N22</f>
        <v>-467.20474996454232</v>
      </c>
      <c r="P71" s="3">
        <v>5</v>
      </c>
      <c r="Q71" s="3">
        <f>P71</f>
        <v>5</v>
      </c>
      <c r="R71" s="2">
        <v>15326.865</v>
      </c>
      <c r="S71" s="2">
        <f>R71*P71</f>
        <v>76634.324999999997</v>
      </c>
      <c r="T71" s="1"/>
    </row>
    <row r="72" spans="1:20" ht="15" x14ac:dyDescent="0.25">
      <c r="A72" s="5"/>
      <c r="B72" s="2" t="s">
        <v>33</v>
      </c>
      <c r="C72" s="2">
        <f>S72*0.00283</f>
        <v>160.65148517750001</v>
      </c>
      <c r="D72" s="3">
        <f>[2]INPUTS!T6</f>
        <v>39604.400000000001</v>
      </c>
      <c r="E72" s="3">
        <f>[2]INPUTS!U6</f>
        <v>993.2</v>
      </c>
      <c r="F72" s="3">
        <f>[2]INPUTS!V6</f>
        <v>1653.7</v>
      </c>
      <c r="G72" s="3">
        <f>[2]INPUTS!T7</f>
        <v>39604.400000000001</v>
      </c>
      <c r="H72" s="3">
        <f>[2]INPUTS!U7</f>
        <v>1126.3</v>
      </c>
      <c r="I72" s="3">
        <f>[2]INPUTS!V7</f>
        <v>1519.2</v>
      </c>
      <c r="J72" s="3">
        <f>[2]INPUTS!T7+60</f>
        <v>39664.400000000001</v>
      </c>
      <c r="K72" s="3">
        <f>[2]INPUTS!U7</f>
        <v>1126.3</v>
      </c>
      <c r="L72" s="3">
        <f>[2]INPUTS!V7</f>
        <v>1519.2</v>
      </c>
      <c r="M72" s="3">
        <f>[2]INPUTS!T6+60</f>
        <v>39664.400000000001</v>
      </c>
      <c r="N72" s="3">
        <f>[2]INPUTS!U6</f>
        <v>993.2</v>
      </c>
      <c r="O72" s="3">
        <f>[2]INPUTS!V6</f>
        <v>1653.7</v>
      </c>
      <c r="P72" s="3">
        <v>5</v>
      </c>
      <c r="Q72" s="3">
        <f>P72</f>
        <v>5</v>
      </c>
      <c r="R72" s="2">
        <v>11353.46185</v>
      </c>
      <c r="S72" s="2">
        <f>R72*P72</f>
        <v>56767.309249999998</v>
      </c>
      <c r="T72" s="1"/>
    </row>
    <row r="73" spans="1:20" ht="15" x14ac:dyDescent="0.25">
      <c r="A73" s="5"/>
      <c r="B73" s="2" t="s">
        <v>32</v>
      </c>
      <c r="C73" s="2">
        <f>S73*0.00283</f>
        <v>105.11607481805</v>
      </c>
      <c r="D73" s="3">
        <f>[2]INPUTS!T7</f>
        <v>39604.400000000001</v>
      </c>
      <c r="E73" s="3">
        <f>[2]INPUTS!U7</f>
        <v>1126.3</v>
      </c>
      <c r="F73" s="3">
        <f>[2]INPUTS!V7</f>
        <v>1519.2</v>
      </c>
      <c r="G73" s="3">
        <f>[2]INPUTS!T8</f>
        <v>39604.400000000001</v>
      </c>
      <c r="H73" s="3">
        <f>[2]INPUTS!U8</f>
        <v>1216.7</v>
      </c>
      <c r="I73" s="3">
        <f>[2]INPUTS!V8</f>
        <v>1434.6</v>
      </c>
      <c r="J73" s="3">
        <f>[2]INPUTS!T8+60</f>
        <v>39664.400000000001</v>
      </c>
      <c r="K73" s="3">
        <f>[2]INPUTS!U8</f>
        <v>1216.7</v>
      </c>
      <c r="L73" s="3">
        <f>[2]INPUTS!V8</f>
        <v>1434.6</v>
      </c>
      <c r="M73" s="3">
        <f>[2]INPUTS!T7+60</f>
        <v>39664.400000000001</v>
      </c>
      <c r="N73" s="3">
        <f>[2]INPUTS!U7</f>
        <v>1126.3</v>
      </c>
      <c r="O73" s="3">
        <f>[2]INPUTS!V7</f>
        <v>1519.2</v>
      </c>
      <c r="P73" s="3">
        <v>5</v>
      </c>
      <c r="Q73" s="3">
        <f>P73</f>
        <v>5</v>
      </c>
      <c r="R73" s="2">
        <v>7428.6978669999999</v>
      </c>
      <c r="S73" s="2">
        <f>R73*P73</f>
        <v>37143.489334999998</v>
      </c>
      <c r="T73" s="1"/>
    </row>
    <row r="74" spans="1:20" ht="15" x14ac:dyDescent="0.25">
      <c r="A74" s="5"/>
      <c r="B74" s="2" t="s">
        <v>31</v>
      </c>
      <c r="C74" s="2">
        <f>S74*0.00283</f>
        <v>122.86693270240001</v>
      </c>
      <c r="D74" s="3">
        <f>[2]INPUTS!T8</f>
        <v>39604.400000000001</v>
      </c>
      <c r="E74" s="3">
        <f>[2]INPUTS!U8</f>
        <v>1216.7</v>
      </c>
      <c r="F74" s="3">
        <f>[2]INPUTS!V8</f>
        <v>1434.6</v>
      </c>
      <c r="G74" s="3">
        <f>[2]INPUTS!T9</f>
        <v>39604.400000000001</v>
      </c>
      <c r="H74" s="3">
        <f>[2]INPUTS!U9</f>
        <v>1313.7</v>
      </c>
      <c r="I74" s="3">
        <f>[2]INPUTS!V9</f>
        <v>1327.2</v>
      </c>
      <c r="J74" s="3">
        <f>[2]INPUTS!T9+60</f>
        <v>39664.400000000001</v>
      </c>
      <c r="K74" s="3">
        <f>[2]INPUTS!U9</f>
        <v>1313.7</v>
      </c>
      <c r="L74" s="3">
        <f>[2]INPUTS!V9</f>
        <v>1327.2</v>
      </c>
      <c r="M74" s="3">
        <f>[2]INPUTS!T8+60</f>
        <v>39664.400000000001</v>
      </c>
      <c r="N74" s="3">
        <f>[2]INPUTS!U8</f>
        <v>1216.7</v>
      </c>
      <c r="O74" s="3">
        <f>[2]INPUTS!V8</f>
        <v>1434.6</v>
      </c>
      <c r="P74" s="3">
        <v>5</v>
      </c>
      <c r="Q74" s="3">
        <f>P74</f>
        <v>5</v>
      </c>
      <c r="R74" s="2">
        <v>8683.1754560000008</v>
      </c>
      <c r="S74" s="2">
        <f>R74*P74</f>
        <v>43415.877280000001</v>
      </c>
      <c r="T74" s="1"/>
    </row>
    <row r="75" spans="1:20" ht="15" x14ac:dyDescent="0.25">
      <c r="A75" s="5"/>
      <c r="B75" s="2" t="s">
        <v>30</v>
      </c>
      <c r="C75" s="2">
        <f>S75*0.00283</f>
        <v>147.94837800399998</v>
      </c>
      <c r="D75" s="3">
        <f>[2]INPUTS!T9</f>
        <v>39604.400000000001</v>
      </c>
      <c r="E75" s="3">
        <f>[2]INPUTS!U9</f>
        <v>1313.7</v>
      </c>
      <c r="F75" s="3">
        <f>[2]INPUTS!V9</f>
        <v>1327.2</v>
      </c>
      <c r="G75" s="3">
        <f>[2]INPUTS!T10</f>
        <v>39604.400000000001</v>
      </c>
      <c r="H75" s="3">
        <f>[2]INPUTS!U10</f>
        <v>1417.6</v>
      </c>
      <c r="I75" s="3">
        <f>[2]INPUTS!V10</f>
        <v>1187.3</v>
      </c>
      <c r="J75" s="3">
        <f>[2]INPUTS!T10+60</f>
        <v>39664.400000000001</v>
      </c>
      <c r="K75" s="3">
        <f>[2]INPUTS!U10</f>
        <v>1417.6</v>
      </c>
      <c r="L75" s="3">
        <f>[2]INPUTS!V10</f>
        <v>1187.3</v>
      </c>
      <c r="M75" s="3">
        <f>[2]INPUTS!T9+60</f>
        <v>39664.400000000001</v>
      </c>
      <c r="N75" s="3">
        <f>[2]INPUTS!U9</f>
        <v>1313.7</v>
      </c>
      <c r="O75" s="3">
        <f>[2]INPUTS!V9</f>
        <v>1327.2</v>
      </c>
      <c r="P75" s="3">
        <v>5</v>
      </c>
      <c r="Q75" s="3">
        <f>P75</f>
        <v>5</v>
      </c>
      <c r="R75" s="2">
        <v>10455.715759999999</v>
      </c>
      <c r="S75" s="2">
        <f>R75*P75</f>
        <v>52278.578799999996</v>
      </c>
      <c r="T75" s="1"/>
    </row>
    <row r="76" spans="1:20" ht="15" x14ac:dyDescent="0.25">
      <c r="A76" s="5"/>
      <c r="B76" s="2" t="s">
        <v>29</v>
      </c>
      <c r="C76" s="2">
        <f>S76*0.00283</f>
        <v>106.78476166390001</v>
      </c>
      <c r="D76" s="3">
        <f>[2]INPUTS!T10</f>
        <v>39604.400000000001</v>
      </c>
      <c r="E76" s="3">
        <f>[2]INPUTS!U10</f>
        <v>1417.6</v>
      </c>
      <c r="F76" s="3">
        <f>[2]INPUTS!V10</f>
        <v>1187.3</v>
      </c>
      <c r="G76" s="3">
        <f>[2]INPUTS!T11</f>
        <v>39604.400000000001</v>
      </c>
      <c r="H76" s="3">
        <f>[2]INPUTS!U11</f>
        <v>1482.4</v>
      </c>
      <c r="I76" s="3">
        <f>[2]INPUTS!V11</f>
        <v>1079.5</v>
      </c>
      <c r="J76" s="3">
        <f>[2]INPUTS!T11+60</f>
        <v>39664.400000000001</v>
      </c>
      <c r="K76" s="3">
        <f>[2]INPUTS!U11</f>
        <v>1482.4</v>
      </c>
      <c r="L76" s="3">
        <f>[2]INPUTS!V11</f>
        <v>1079.5</v>
      </c>
      <c r="M76" s="3">
        <f>[2]INPUTS!T10+60</f>
        <v>39664.400000000001</v>
      </c>
      <c r="N76" s="3">
        <f>[2]INPUTS!U10</f>
        <v>1417.6</v>
      </c>
      <c r="O76" s="3">
        <f>[2]INPUTS!V10</f>
        <v>1187.3</v>
      </c>
      <c r="P76" s="3">
        <v>5</v>
      </c>
      <c r="Q76" s="3">
        <f>P76</f>
        <v>5</v>
      </c>
      <c r="R76" s="2">
        <v>7546.6262660000002</v>
      </c>
      <c r="S76" s="2">
        <f>R76*P76</f>
        <v>37733.131330000004</v>
      </c>
      <c r="T76" s="1"/>
    </row>
    <row r="77" spans="1:20" ht="15" x14ac:dyDescent="0.25">
      <c r="A77" s="5"/>
      <c r="B77" s="2" t="s">
        <v>28</v>
      </c>
      <c r="C77" s="2">
        <f>S77*0.00283</f>
        <v>121.65693057270001</v>
      </c>
      <c r="D77" s="3">
        <f>[2]INPUTS!T11</f>
        <v>39604.400000000001</v>
      </c>
      <c r="E77" s="3">
        <f>[2]INPUTS!U11</f>
        <v>1482.4</v>
      </c>
      <c r="F77" s="3">
        <f>[2]INPUTS!V11</f>
        <v>1079.5</v>
      </c>
      <c r="G77" s="3">
        <f>[2]INPUTS!T12</f>
        <v>39604.400000000001</v>
      </c>
      <c r="H77" s="3">
        <f>[2]INPUTS!U12</f>
        <v>1545.2</v>
      </c>
      <c r="I77" s="3">
        <f>[2]INPUTS!V12</f>
        <v>950.7</v>
      </c>
      <c r="J77" s="3">
        <f>[2]INPUTS!T12+60</f>
        <v>39664.400000000001</v>
      </c>
      <c r="K77" s="3">
        <f>[2]INPUTS!U12</f>
        <v>1545.2</v>
      </c>
      <c r="L77" s="3">
        <f>[2]INPUTS!V12</f>
        <v>950.7</v>
      </c>
      <c r="M77" s="3">
        <f>[2]INPUTS!T11+60</f>
        <v>39664.400000000001</v>
      </c>
      <c r="N77" s="3">
        <f>[2]INPUTS!U11</f>
        <v>1482.4</v>
      </c>
      <c r="O77" s="3">
        <f>[2]INPUTS!V11</f>
        <v>1079.5</v>
      </c>
      <c r="P77" s="3">
        <v>5</v>
      </c>
      <c r="Q77" s="3">
        <f>P77</f>
        <v>5</v>
      </c>
      <c r="R77" s="2">
        <v>8597.6629379999995</v>
      </c>
      <c r="S77" s="2">
        <f>R77*P77</f>
        <v>42988.314689999999</v>
      </c>
      <c r="T77" s="1"/>
    </row>
    <row r="78" spans="1:20" ht="15" x14ac:dyDescent="0.25">
      <c r="A78" s="5"/>
      <c r="B78" s="2" t="s">
        <v>27</v>
      </c>
      <c r="C78" s="2">
        <f>S78*0.00283</f>
        <v>111.56603012254999</v>
      </c>
      <c r="D78" s="3">
        <f>[2]INPUTS!T12</f>
        <v>39604.400000000001</v>
      </c>
      <c r="E78" s="3">
        <f>[2]INPUTS!U12</f>
        <v>1545.2</v>
      </c>
      <c r="F78" s="3">
        <f>[2]INPUTS!V12</f>
        <v>950.7</v>
      </c>
      <c r="G78" s="3">
        <f>[2]INPUTS!T13</f>
        <v>39604.400000000001</v>
      </c>
      <c r="H78" s="3">
        <f>[2]INPUTS!U13</f>
        <v>1590.1</v>
      </c>
      <c r="I78" s="3">
        <f>[2]INPUTS!V13</f>
        <v>827.2</v>
      </c>
      <c r="J78" s="3">
        <f>[2]INPUTS!T13+60</f>
        <v>39664.400000000001</v>
      </c>
      <c r="K78" s="3">
        <f>[2]INPUTS!U13</f>
        <v>1590.1</v>
      </c>
      <c r="L78" s="3">
        <f>[2]INPUTS!V13</f>
        <v>827.2</v>
      </c>
      <c r="M78" s="3">
        <f>[2]INPUTS!T12+60</f>
        <v>39664.400000000001</v>
      </c>
      <c r="N78" s="3">
        <f>[2]INPUTS!U12</f>
        <v>1545.2</v>
      </c>
      <c r="O78" s="3">
        <f>[2]INPUTS!V12</f>
        <v>950.7</v>
      </c>
      <c r="P78" s="3">
        <v>5</v>
      </c>
      <c r="Q78" s="3">
        <f>P78</f>
        <v>5</v>
      </c>
      <c r="R78" s="2">
        <v>7884.5250969999997</v>
      </c>
      <c r="S78" s="2">
        <f>R78*P78</f>
        <v>39422.625484999997</v>
      </c>
      <c r="T78" s="1"/>
    </row>
    <row r="79" spans="1:20" ht="15" x14ac:dyDescent="0.25">
      <c r="A79" s="5"/>
      <c r="B79" s="2" t="s">
        <v>26</v>
      </c>
      <c r="C79" s="2">
        <f>S79*0.00283</f>
        <v>135.55236202619997</v>
      </c>
      <c r="D79" s="3">
        <f>[2]INPUTS!T13</f>
        <v>39604.400000000001</v>
      </c>
      <c r="E79" s="3">
        <f>[2]INPUTS!U13</f>
        <v>1590.1</v>
      </c>
      <c r="F79" s="3">
        <f>[2]INPUTS!V13</f>
        <v>827.2</v>
      </c>
      <c r="G79" s="3">
        <f>[2]INPUTS!T14</f>
        <v>39604.400000000001</v>
      </c>
      <c r="H79" s="3">
        <f>[2]INPUTS!U14</f>
        <v>1628.8</v>
      </c>
      <c r="I79" s="3">
        <f>[2]INPUTS!V14</f>
        <v>672.3</v>
      </c>
      <c r="J79" s="3">
        <f>[2]INPUTS!T14+60</f>
        <v>39664.400000000001</v>
      </c>
      <c r="K79" s="3">
        <f>[2]INPUTS!U14</f>
        <v>1628.8</v>
      </c>
      <c r="L79" s="3">
        <f>[2]INPUTS!V14</f>
        <v>672.3</v>
      </c>
      <c r="M79" s="3">
        <f>[2]INPUTS!T13+60</f>
        <v>39664.400000000001</v>
      </c>
      <c r="N79" s="3">
        <f>[2]INPUTS!U13</f>
        <v>1590.1</v>
      </c>
      <c r="O79" s="3">
        <f>[2]INPUTS!V13</f>
        <v>827.2</v>
      </c>
      <c r="P79" s="3">
        <v>5</v>
      </c>
      <c r="Q79" s="3">
        <f>P79</f>
        <v>5</v>
      </c>
      <c r="R79" s="2">
        <v>9579.6722279999994</v>
      </c>
      <c r="S79" s="2">
        <f>R79*P79</f>
        <v>47898.361139999994</v>
      </c>
      <c r="T79" s="1"/>
    </row>
    <row r="80" spans="1:20" ht="15" x14ac:dyDescent="0.25">
      <c r="A80" s="5"/>
      <c r="B80" s="2" t="s">
        <v>25</v>
      </c>
      <c r="C80" s="2">
        <f>S80*0.00283</f>
        <v>136.58845407615001</v>
      </c>
      <c r="D80" s="3">
        <f>[2]INPUTS!T14</f>
        <v>39604.400000000001</v>
      </c>
      <c r="E80" s="3">
        <f>[2]INPUTS!U14</f>
        <v>1628.8</v>
      </c>
      <c r="F80" s="3">
        <f>[2]INPUTS!V14</f>
        <v>672.3</v>
      </c>
      <c r="G80" s="3">
        <f>[2]INPUTS!T15</f>
        <v>39604.400000000001</v>
      </c>
      <c r="H80" s="3">
        <f>[2]INPUTS!U15</f>
        <v>1652</v>
      </c>
      <c r="I80" s="3">
        <f>[2]INPUTS!V15</f>
        <v>513.1</v>
      </c>
      <c r="J80" s="3">
        <f>[2]INPUTS!T15+60</f>
        <v>39664.400000000001</v>
      </c>
      <c r="K80" s="3">
        <f>[2]INPUTS!U15</f>
        <v>1652</v>
      </c>
      <c r="L80" s="3">
        <f>[2]INPUTS!V15</f>
        <v>513.1</v>
      </c>
      <c r="M80" s="3">
        <f>[2]INPUTS!T14+60</f>
        <v>39664.400000000001</v>
      </c>
      <c r="N80" s="3">
        <f>[2]INPUTS!U14</f>
        <v>1628.8</v>
      </c>
      <c r="O80" s="3">
        <f>[2]INPUTS!V14</f>
        <v>672.3</v>
      </c>
      <c r="P80" s="3">
        <v>5</v>
      </c>
      <c r="Q80" s="3">
        <f>P80</f>
        <v>5</v>
      </c>
      <c r="R80" s="2">
        <v>9652.8942810000008</v>
      </c>
      <c r="S80" s="2">
        <f>R80*P80</f>
        <v>48264.471405000004</v>
      </c>
      <c r="T80" s="1"/>
    </row>
    <row r="81" spans="1:20" ht="15" x14ac:dyDescent="0.25">
      <c r="A81" s="5"/>
      <c r="B81" s="2" t="s">
        <v>24</v>
      </c>
      <c r="C81" s="2">
        <f>S81*0.00283</f>
        <v>134.90300103679999</v>
      </c>
      <c r="D81" s="3">
        <f>[2]INPUTS!T15</f>
        <v>39604.400000000001</v>
      </c>
      <c r="E81" s="3">
        <f>[2]INPUTS!U15</f>
        <v>1652</v>
      </c>
      <c r="F81" s="3">
        <f>[2]INPUTS!V15</f>
        <v>513.1</v>
      </c>
      <c r="G81" s="3">
        <f>[2]INPUTS!T16</f>
        <v>39604.400000000001</v>
      </c>
      <c r="H81" s="3">
        <f>[2]INPUTS!U16</f>
        <v>1661.7</v>
      </c>
      <c r="I81" s="3">
        <f>[2]INPUTS!V16</f>
        <v>354.5</v>
      </c>
      <c r="J81" s="3">
        <f>[2]INPUTS!T16+60</f>
        <v>39664.400000000001</v>
      </c>
      <c r="K81" s="3">
        <f>[2]INPUTS!U16</f>
        <v>1661.7</v>
      </c>
      <c r="L81" s="3">
        <f>[2]INPUTS!V16</f>
        <v>354.5</v>
      </c>
      <c r="M81" s="3">
        <f>[2]INPUTS!T15+60</f>
        <v>39664.400000000001</v>
      </c>
      <c r="N81" s="3">
        <f>[2]INPUTS!U15</f>
        <v>1652</v>
      </c>
      <c r="O81" s="3">
        <f>[2]INPUTS!V15</f>
        <v>513.1</v>
      </c>
      <c r="P81" s="3">
        <v>5</v>
      </c>
      <c r="Q81" s="3">
        <f>P81</f>
        <v>5</v>
      </c>
      <c r="R81" s="2">
        <v>9533.780992</v>
      </c>
      <c r="S81" s="2">
        <f>R81*P81</f>
        <v>47668.90496</v>
      </c>
      <c r="T81" s="1"/>
    </row>
    <row r="82" spans="1:20" ht="15" x14ac:dyDescent="0.25">
      <c r="A82" s="5"/>
      <c r="B82" s="2" t="s">
        <v>23</v>
      </c>
      <c r="C82" s="2">
        <f>S82*0.00283</f>
        <v>137.96344042315002</v>
      </c>
      <c r="D82" s="3">
        <f>[2]INPUTS!T16</f>
        <v>39604.400000000001</v>
      </c>
      <c r="E82" s="3">
        <f>[2]INPUTS!U16</f>
        <v>1661.7</v>
      </c>
      <c r="F82" s="3">
        <f>[2]INPUTS!V16</f>
        <v>354.5</v>
      </c>
      <c r="G82" s="3">
        <f>[2]INPUTS!T17</f>
        <v>39604.400000000001</v>
      </c>
      <c r="H82" s="3">
        <f>[2]INPUTS!U17</f>
        <v>1662.3</v>
      </c>
      <c r="I82" s="3">
        <f>[2]INPUTS!V17</f>
        <v>192</v>
      </c>
      <c r="J82" s="3">
        <f>[2]INPUTS!T17+60</f>
        <v>39664.400000000001</v>
      </c>
      <c r="K82" s="3">
        <f>[2]INPUTS!U17</f>
        <v>1662.3</v>
      </c>
      <c r="L82" s="3">
        <f>[2]INPUTS!V17</f>
        <v>192</v>
      </c>
      <c r="M82" s="3">
        <f>[2]INPUTS!T16+60</f>
        <v>39664.400000000001</v>
      </c>
      <c r="N82" s="3">
        <f>[2]INPUTS!U16</f>
        <v>1661.7</v>
      </c>
      <c r="O82" s="3">
        <f>[2]INPUTS!V16</f>
        <v>354.5</v>
      </c>
      <c r="P82" s="3">
        <v>5</v>
      </c>
      <c r="Q82" s="3">
        <f>P82</f>
        <v>5</v>
      </c>
      <c r="R82" s="2">
        <v>9750.0664610000003</v>
      </c>
      <c r="S82" s="2">
        <f>R82*P82</f>
        <v>48750.332305000004</v>
      </c>
      <c r="T82" s="1"/>
    </row>
    <row r="83" spans="1:20" ht="15" x14ac:dyDescent="0.25">
      <c r="A83" s="5"/>
      <c r="B83" s="2" t="s">
        <v>22</v>
      </c>
      <c r="C83" s="2">
        <f>S83*0.00283</f>
        <v>120.14414953055</v>
      </c>
      <c r="D83" s="3">
        <f>[2]INPUTS!T17</f>
        <v>39604.400000000001</v>
      </c>
      <c r="E83" s="3">
        <f>[2]INPUTS!U17</f>
        <v>1662.3</v>
      </c>
      <c r="F83" s="3">
        <f>[2]INPUTS!V17</f>
        <v>192</v>
      </c>
      <c r="G83" s="3">
        <f>[2]INPUTS!T18</f>
        <v>39604.400000000001</v>
      </c>
      <c r="H83" s="3">
        <f>[2]INPUTS!U18</f>
        <v>1652.9</v>
      </c>
      <c r="I83" s="3">
        <f>[2]INPUTS!V18</f>
        <v>50.8</v>
      </c>
      <c r="J83" s="3">
        <f>[2]INPUTS!T18+60</f>
        <v>39664.400000000001</v>
      </c>
      <c r="K83" s="3">
        <f>[2]INPUTS!U18</f>
        <v>1652.9</v>
      </c>
      <c r="L83" s="3">
        <f>[2]INPUTS!V18</f>
        <v>50.8</v>
      </c>
      <c r="M83" s="3">
        <f>[2]INPUTS!T17+60</f>
        <v>39664.400000000001</v>
      </c>
      <c r="N83" s="3">
        <f>[2]INPUTS!U17</f>
        <v>1662.3</v>
      </c>
      <c r="O83" s="3">
        <f>[2]INPUTS!V17</f>
        <v>192</v>
      </c>
      <c r="P83" s="3">
        <v>5</v>
      </c>
      <c r="Q83" s="3">
        <f>P83</f>
        <v>5</v>
      </c>
      <c r="R83" s="2">
        <v>8490.7526170000001</v>
      </c>
      <c r="S83" s="2">
        <f>R83*P83</f>
        <v>42453.763084999999</v>
      </c>
      <c r="T83" s="1"/>
    </row>
    <row r="84" spans="1:20" ht="15" x14ac:dyDescent="0.25">
      <c r="A84" s="5"/>
      <c r="B84" s="2" t="s">
        <v>21</v>
      </c>
      <c r="C84" s="2">
        <f>S84*0.00283</f>
        <v>121.32530821535001</v>
      </c>
      <c r="D84" s="3">
        <f>[2]INPUTS!T18</f>
        <v>39604.400000000001</v>
      </c>
      <c r="E84" s="3">
        <f>[2]INPUTS!U18</f>
        <v>1652.9</v>
      </c>
      <c r="F84" s="3">
        <f>[2]INPUTS!V18</f>
        <v>50.8</v>
      </c>
      <c r="G84" s="3">
        <f>[2]INPUTS!T19</f>
        <v>39604.400000000001</v>
      </c>
      <c r="H84" s="3">
        <f>[2]INPUTS!U19</f>
        <v>1627.9</v>
      </c>
      <c r="I84" s="3">
        <f>[2]INPUTS!V19</f>
        <v>-89.9</v>
      </c>
      <c r="J84" s="3">
        <f>[2]INPUTS!T19+60</f>
        <v>39664.400000000001</v>
      </c>
      <c r="K84" s="3">
        <f>[2]INPUTS!U19</f>
        <v>1627.9</v>
      </c>
      <c r="L84" s="3">
        <f>[2]INPUTS!V19</f>
        <v>-89.9</v>
      </c>
      <c r="M84" s="3">
        <f>[2]INPUTS!T18+60</f>
        <v>39664.400000000001</v>
      </c>
      <c r="N84" s="3">
        <f>[2]INPUTS!U18</f>
        <v>1652.9</v>
      </c>
      <c r="O84" s="3">
        <f>[2]INPUTS!V18</f>
        <v>50.8</v>
      </c>
      <c r="P84" s="3">
        <v>5</v>
      </c>
      <c r="Q84" s="3">
        <f>P84</f>
        <v>5</v>
      </c>
      <c r="R84" s="2">
        <v>8574.226729</v>
      </c>
      <c r="S84" s="2">
        <f>R84*P84</f>
        <v>42871.133645000002</v>
      </c>
      <c r="T84" s="1"/>
    </row>
    <row r="85" spans="1:20" ht="15" x14ac:dyDescent="0.25">
      <c r="A85" s="5"/>
      <c r="B85" s="2" t="s">
        <v>20</v>
      </c>
      <c r="C85" s="2">
        <f>S85*0.00283</f>
        <v>124.9018664462</v>
      </c>
      <c r="D85" s="3">
        <f>[2]INPUTS!T19</f>
        <v>39604.400000000001</v>
      </c>
      <c r="E85" s="3">
        <f>[2]INPUTS!U19</f>
        <v>1627.9</v>
      </c>
      <c r="F85" s="3">
        <f>[2]INPUTS!V19</f>
        <v>-89.9</v>
      </c>
      <c r="G85" s="3">
        <f>[2]INPUTS!T20</f>
        <v>39604.400000000001</v>
      </c>
      <c r="H85" s="3">
        <f>[2]INPUTS!U20</f>
        <v>1584.6</v>
      </c>
      <c r="I85" s="3">
        <f>[2]INPUTS!V20</f>
        <v>-230.5</v>
      </c>
      <c r="J85" s="3">
        <f>[2]INPUTS!T20+60</f>
        <v>39664.400000000001</v>
      </c>
      <c r="K85" s="3">
        <f>[2]INPUTS!U20</f>
        <v>1584.6</v>
      </c>
      <c r="L85" s="3">
        <f>[2]INPUTS!V20</f>
        <v>-230.5</v>
      </c>
      <c r="M85" s="3">
        <f>[2]INPUTS!T19+60</f>
        <v>39664.400000000001</v>
      </c>
      <c r="N85" s="3">
        <f>[2]INPUTS!U19</f>
        <v>1627.9</v>
      </c>
      <c r="O85" s="3">
        <f>[2]INPUTS!V19</f>
        <v>-89.9</v>
      </c>
      <c r="P85" s="3">
        <v>5</v>
      </c>
      <c r="Q85" s="3">
        <f>P85</f>
        <v>5</v>
      </c>
      <c r="R85" s="2">
        <v>8826.9870279999996</v>
      </c>
      <c r="S85" s="2">
        <f>R85*P85</f>
        <v>44134.935140000001</v>
      </c>
      <c r="T85" s="1"/>
    </row>
    <row r="86" spans="1:20" ht="15" x14ac:dyDescent="0.25">
      <c r="A86" s="5"/>
      <c r="B86" s="2" t="s">
        <v>19</v>
      </c>
      <c r="C86" s="2">
        <f>S86*0.00283</f>
        <v>116.79799487240001</v>
      </c>
      <c r="D86" s="3">
        <f>[2]INPUTS!T20</f>
        <v>39604.400000000001</v>
      </c>
      <c r="E86" s="3">
        <f>[2]INPUTS!U20</f>
        <v>1584.6</v>
      </c>
      <c r="F86" s="3">
        <f>[2]INPUTS!V20</f>
        <v>-230.5</v>
      </c>
      <c r="G86" s="3">
        <f>[2]INPUTS!T21</f>
        <v>39604.400000000001</v>
      </c>
      <c r="H86" s="3">
        <f>[2]INPUTS!U21</f>
        <v>1531</v>
      </c>
      <c r="I86" s="3">
        <f>[2]INPUTS!V21</f>
        <v>-357.2</v>
      </c>
      <c r="J86" s="3">
        <f>[2]INPUTS!T21+60</f>
        <v>39664.400000000001</v>
      </c>
      <c r="K86" s="3">
        <f>[2]INPUTS!U21</f>
        <v>1531</v>
      </c>
      <c r="L86" s="3">
        <f>[2]INPUTS!V21</f>
        <v>-357.2</v>
      </c>
      <c r="M86" s="3">
        <f>[2]INPUTS!T20+60</f>
        <v>39664.400000000001</v>
      </c>
      <c r="N86" s="3">
        <f>[2]INPUTS!U20</f>
        <v>1584.6</v>
      </c>
      <c r="O86" s="3">
        <f>[2]INPUTS!V20</f>
        <v>-230.5</v>
      </c>
      <c r="P86" s="3">
        <v>5</v>
      </c>
      <c r="Q86" s="3">
        <f>P86</f>
        <v>5</v>
      </c>
      <c r="R86" s="2">
        <v>8254.2752560000008</v>
      </c>
      <c r="S86" s="2">
        <f>R86*P86</f>
        <v>41271.376280000004</v>
      </c>
      <c r="T86" s="1"/>
    </row>
    <row r="87" spans="1:20" ht="15" x14ac:dyDescent="0.25">
      <c r="A87" s="5"/>
      <c r="B87" s="2" t="s">
        <v>18</v>
      </c>
      <c r="C87" s="2">
        <f>S87*0.00283</f>
        <v>144.59676400700002</v>
      </c>
      <c r="D87" s="3">
        <f>[2]INPUTS!T21</f>
        <v>39604.400000000001</v>
      </c>
      <c r="E87" s="3">
        <f>[2]INPUTS!U21</f>
        <v>1531</v>
      </c>
      <c r="F87" s="3">
        <f>[2]INPUTS!V21</f>
        <v>-357.2</v>
      </c>
      <c r="G87" s="3">
        <f>[2]INPUTS!T22</f>
        <v>39604.400000000001</v>
      </c>
      <c r="H87" s="3">
        <f>[2]INPUTS!U22</f>
        <v>1452.8</v>
      </c>
      <c r="I87" s="3">
        <f>[2]INPUTS!V22</f>
        <v>-508.5</v>
      </c>
      <c r="J87" s="3">
        <f>[2]INPUTS!T22+60</f>
        <v>39664.400000000001</v>
      </c>
      <c r="K87" s="3">
        <f>[2]INPUTS!U22</f>
        <v>1452.8</v>
      </c>
      <c r="L87" s="3">
        <f>[2]INPUTS!V22</f>
        <v>-508.5</v>
      </c>
      <c r="M87" s="3">
        <f>[2]INPUTS!T21+60</f>
        <v>39664.400000000001</v>
      </c>
      <c r="N87" s="3">
        <f>[2]INPUTS!U21</f>
        <v>1531</v>
      </c>
      <c r="O87" s="3">
        <f>[2]INPUTS!V21</f>
        <v>-357.2</v>
      </c>
      <c r="P87" s="3">
        <v>5</v>
      </c>
      <c r="Q87" s="3">
        <f>P87</f>
        <v>5</v>
      </c>
      <c r="R87" s="2">
        <v>10218.852580000001</v>
      </c>
      <c r="S87" s="2">
        <f>R87*P87</f>
        <v>51094.262900000002</v>
      </c>
      <c r="T87" s="1"/>
    </row>
    <row r="88" spans="1:20" ht="15" x14ac:dyDescent="0.25">
      <c r="A88" s="5"/>
      <c r="B88" s="2" t="s">
        <v>17</v>
      </c>
      <c r="C88" s="2">
        <f>S88*0.00283</f>
        <v>109.41498822829999</v>
      </c>
      <c r="D88" s="3">
        <f>[2]INPUTS!T22</f>
        <v>39604.400000000001</v>
      </c>
      <c r="E88" s="3">
        <f>[2]INPUTS!U22</f>
        <v>1452.8</v>
      </c>
      <c r="F88" s="3">
        <f>[2]INPUTS!V22</f>
        <v>-508.5</v>
      </c>
      <c r="G88" s="3">
        <f>[2]INPUTS!T23</f>
        <v>39604.400000000001</v>
      </c>
      <c r="H88" s="3">
        <f>[2]INPUTS!U23</f>
        <v>1391.2</v>
      </c>
      <c r="I88" s="3">
        <f>[2]INPUTS!V23</f>
        <v>-621.70000000000005</v>
      </c>
      <c r="J88" s="3">
        <f>[2]INPUTS!T23+60</f>
        <v>39664.400000000001</v>
      </c>
      <c r="K88" s="3">
        <f>[2]INPUTS!U23</f>
        <v>1391.2</v>
      </c>
      <c r="L88" s="3">
        <f>[2]INPUTS!V23</f>
        <v>-621.70000000000005</v>
      </c>
      <c r="M88" s="3">
        <f>[2]INPUTS!T22+60</f>
        <v>39664.400000000001</v>
      </c>
      <c r="N88" s="3">
        <f>[2]INPUTS!U22</f>
        <v>1452.8</v>
      </c>
      <c r="O88" s="3">
        <f>[2]INPUTS!V22</f>
        <v>-508.5</v>
      </c>
      <c r="P88" s="3">
        <v>5</v>
      </c>
      <c r="Q88" s="3">
        <f>P88</f>
        <v>5</v>
      </c>
      <c r="R88" s="2">
        <v>7732.5080019999996</v>
      </c>
      <c r="S88" s="2">
        <f>R88*P88</f>
        <v>38662.540009999997</v>
      </c>
      <c r="T88" s="1"/>
    </row>
    <row r="89" spans="1:20" ht="15" x14ac:dyDescent="0.25">
      <c r="A89" s="5"/>
      <c r="B89" s="2" t="s">
        <v>16</v>
      </c>
      <c r="C89" s="2">
        <f>S89*0.00283</f>
        <v>150.58900416750001</v>
      </c>
      <c r="D89" s="3">
        <f>[2]INPUTS!T6+60</f>
        <v>39664.400000000001</v>
      </c>
      <c r="E89" s="3">
        <f>[1]GEOMETRY_PROCESSING!M6</f>
        <v>928.8413430663303</v>
      </c>
      <c r="F89" s="3">
        <f>[1]GEOMETRY_PROCESSING!N6</f>
        <v>1546.5414106210137</v>
      </c>
      <c r="G89" s="3">
        <f>[2]INPUTS!T7+60</f>
        <v>39664.400000000001</v>
      </c>
      <c r="H89" s="3">
        <f>[1]GEOMETRY_PROCESSING!M7</f>
        <v>1051.8553061747486</v>
      </c>
      <c r="I89" s="3">
        <f>[1]GEOMETRY_PROCESSING!N7</f>
        <v>1418.7859195069507</v>
      </c>
      <c r="J89" s="3">
        <f>[2]INPUTS!T7</f>
        <v>39604.400000000001</v>
      </c>
      <c r="K89" s="3">
        <f>[1]GEOMETRY_PROCESSING!M7</f>
        <v>1051.8553061747486</v>
      </c>
      <c r="L89" s="3">
        <f>[1]GEOMETRY_PROCESSING!N7</f>
        <v>1418.7859195069507</v>
      </c>
      <c r="M89" s="3">
        <f>[2]INPUTS!T6</f>
        <v>39604.400000000001</v>
      </c>
      <c r="N89" s="3">
        <f>[1]GEOMETRY_PROCESSING!M6</f>
        <v>928.8413430663303</v>
      </c>
      <c r="O89" s="3">
        <f>[1]GEOMETRY_PROCESSING!N6</f>
        <v>1546.5414106210137</v>
      </c>
      <c r="P89" s="3">
        <v>5</v>
      </c>
      <c r="Q89" s="3">
        <f>P89</f>
        <v>5</v>
      </c>
      <c r="R89" s="2">
        <v>10642.33245</v>
      </c>
      <c r="S89" s="2">
        <f>R89*P89</f>
        <v>53211.662250000001</v>
      </c>
      <c r="T89" s="1"/>
    </row>
    <row r="90" spans="1:20" ht="15" x14ac:dyDescent="0.25">
      <c r="A90" s="5"/>
      <c r="B90" s="2" t="s">
        <v>15</v>
      </c>
      <c r="C90" s="2">
        <f>S90*0.00283</f>
        <v>98.13007758225001</v>
      </c>
      <c r="D90" s="3">
        <f>[2]INPUTS!T7+60</f>
        <v>39664.400000000001</v>
      </c>
      <c r="E90" s="3">
        <f>[1]GEOMETRY_PROCESSING!M7</f>
        <v>1051.8553061747486</v>
      </c>
      <c r="F90" s="3">
        <f>[1]GEOMETRY_PROCESSING!N7</f>
        <v>1418.7859195069507</v>
      </c>
      <c r="G90" s="3">
        <f>[2]INPUTS!T8+60</f>
        <v>39664.400000000001</v>
      </c>
      <c r="H90" s="3">
        <f>[1]GEOMETRY_PROCESSING!M8</f>
        <v>1135.8485439414455</v>
      </c>
      <c r="I90" s="3">
        <f>[1]GEOMETRY_PROCESSING!N8</f>
        <v>1339.2687771335559</v>
      </c>
      <c r="J90" s="3">
        <f>[2]INPUTS!T8</f>
        <v>39604.400000000001</v>
      </c>
      <c r="K90" s="3">
        <f>[1]GEOMETRY_PROCESSING!M8</f>
        <v>1135.8485439414455</v>
      </c>
      <c r="L90" s="3">
        <f>[1]GEOMETRY_PROCESSING!N8</f>
        <v>1339.2687771335559</v>
      </c>
      <c r="M90" s="3">
        <f>[2]INPUTS!T7</f>
        <v>39604.400000000001</v>
      </c>
      <c r="N90" s="3">
        <f>[1]GEOMETRY_PROCESSING!M7</f>
        <v>1051.8553061747486</v>
      </c>
      <c r="O90" s="3">
        <f>[1]GEOMETRY_PROCESSING!N7</f>
        <v>1418.7859195069507</v>
      </c>
      <c r="P90" s="3">
        <v>5</v>
      </c>
      <c r="Q90" s="3">
        <f>P90</f>
        <v>5</v>
      </c>
      <c r="R90" s="2">
        <v>6934.9878150000004</v>
      </c>
      <c r="S90" s="2">
        <f>R90*P90</f>
        <v>34674.939075000002</v>
      </c>
      <c r="T90" s="1"/>
    </row>
    <row r="91" spans="1:20" ht="15" x14ac:dyDescent="0.25">
      <c r="A91" s="5"/>
      <c r="B91" s="2" t="s">
        <v>14</v>
      </c>
      <c r="C91" s="2">
        <f>S91*0.00283</f>
        <v>114.7903572993</v>
      </c>
      <c r="D91" s="3">
        <f>[2]INPUTS!T8+60</f>
        <v>39664.400000000001</v>
      </c>
      <c r="E91" s="3">
        <f>[1]GEOMETRY_PROCESSING!M8</f>
        <v>1135.8485439414455</v>
      </c>
      <c r="F91" s="3">
        <f>[1]GEOMETRY_PROCESSING!N8</f>
        <v>1339.2687771335559</v>
      </c>
      <c r="G91" s="3">
        <f>[2]INPUTS!T9+60</f>
        <v>39664.400000000001</v>
      </c>
      <c r="H91" s="3">
        <f>[1]GEOMETRY_PROCESSING!M9</f>
        <v>1225.7646331188776</v>
      </c>
      <c r="I91" s="3">
        <f>[1]GEOMETRY_PROCESSING!N9</f>
        <v>1238.3609812555183</v>
      </c>
      <c r="J91" s="3">
        <f>[2]INPUTS!T9</f>
        <v>39604.400000000001</v>
      </c>
      <c r="K91" s="3">
        <f>[1]GEOMETRY_PROCESSING!M9</f>
        <v>1225.7646331188776</v>
      </c>
      <c r="L91" s="3">
        <f>[1]GEOMETRY_PROCESSING!N9</f>
        <v>1238.3609812555183</v>
      </c>
      <c r="M91" s="3">
        <f>[2]INPUTS!T8</f>
        <v>39604.400000000001</v>
      </c>
      <c r="N91" s="3">
        <f>[1]GEOMETRY_PROCESSING!M8</f>
        <v>1135.8485439414455</v>
      </c>
      <c r="O91" s="3">
        <f>[1]GEOMETRY_PROCESSING!N8</f>
        <v>1339.2687771335559</v>
      </c>
      <c r="P91" s="3">
        <v>5</v>
      </c>
      <c r="Q91" s="3">
        <f>P91</f>
        <v>5</v>
      </c>
      <c r="R91" s="2">
        <v>8112.392742</v>
      </c>
      <c r="S91" s="2">
        <f>R91*P91</f>
        <v>40561.963709999996</v>
      </c>
      <c r="T91" s="1"/>
    </row>
    <row r="92" spans="1:20" ht="15" x14ac:dyDescent="0.25">
      <c r="A92" s="5"/>
      <c r="B92" s="2" t="s">
        <v>13</v>
      </c>
      <c r="C92" s="2">
        <f>S92*0.00283</f>
        <v>138.1601362479</v>
      </c>
      <c r="D92" s="3">
        <f>[2]INPUTS!T9+60</f>
        <v>39664.400000000001</v>
      </c>
      <c r="E92" s="3">
        <f>[1]GEOMETRY_PROCESSING!M9</f>
        <v>1225.7646331188776</v>
      </c>
      <c r="F92" s="3">
        <f>[1]GEOMETRY_PROCESSING!N9</f>
        <v>1238.3609812555183</v>
      </c>
      <c r="G92" s="3">
        <f>[2]INPUTS!T10+60</f>
        <v>39664.400000000001</v>
      </c>
      <c r="H92" s="3">
        <f>[1]GEOMETRY_PROCESSING!M10</f>
        <v>1321.7710007211492</v>
      </c>
      <c r="I92" s="3">
        <f>[1]GEOMETRY_PROCESSING!N10</f>
        <v>1107.0391571361602</v>
      </c>
      <c r="J92" s="3">
        <f>[2]INPUTS!T10</f>
        <v>39604.400000000001</v>
      </c>
      <c r="K92" s="3">
        <f>[1]GEOMETRY_PROCESSING!M10</f>
        <v>1321.7710007211492</v>
      </c>
      <c r="L92" s="3">
        <f>[1]GEOMETRY_PROCESSING!N10</f>
        <v>1107.0391571361602</v>
      </c>
      <c r="M92" s="3">
        <f>[2]INPUTS!T9</f>
        <v>39604.400000000001</v>
      </c>
      <c r="N92" s="3">
        <f>[1]GEOMETRY_PROCESSING!M9</f>
        <v>1225.7646331188776</v>
      </c>
      <c r="O92" s="3">
        <f>[1]GEOMETRY_PROCESSING!N9</f>
        <v>1238.3609812555183</v>
      </c>
      <c r="P92" s="3">
        <v>5</v>
      </c>
      <c r="Q92" s="3">
        <f>P92</f>
        <v>5</v>
      </c>
      <c r="R92" s="2">
        <v>9763.9672260000007</v>
      </c>
      <c r="S92" s="2">
        <f>R92*P92</f>
        <v>48819.836130000003</v>
      </c>
      <c r="T92" s="1"/>
    </row>
    <row r="93" spans="1:20" ht="15" x14ac:dyDescent="0.25">
      <c r="A93" s="5"/>
      <c r="B93" s="2" t="s">
        <v>12</v>
      </c>
      <c r="C93" s="2">
        <f>S93*0.00283</f>
        <v>99.638641443300003</v>
      </c>
      <c r="D93" s="3">
        <f>[2]INPUTS!T10+60</f>
        <v>39664.400000000001</v>
      </c>
      <c r="E93" s="3">
        <f>[1]GEOMETRY_PROCESSING!M10</f>
        <v>1321.7710007211492</v>
      </c>
      <c r="F93" s="3">
        <f>[1]GEOMETRY_PROCESSING!N10</f>
        <v>1107.0391571361602</v>
      </c>
      <c r="G93" s="3">
        <f>[2]INPUTS!T11+60</f>
        <v>39664.400000000001</v>
      </c>
      <c r="H93" s="3">
        <f>[1]GEOMETRY_PROCESSING!M11</f>
        <v>1381.3531075159215</v>
      </c>
      <c r="I93" s="3">
        <f>[1]GEOMETRY_PROCESSING!N11</f>
        <v>1005.9165404502407</v>
      </c>
      <c r="J93" s="3">
        <f>[2]INPUTS!T11</f>
        <v>39604.400000000001</v>
      </c>
      <c r="K93" s="3">
        <f>[1]GEOMETRY_PROCESSING!M11</f>
        <v>1381.3531075159215</v>
      </c>
      <c r="L93" s="3">
        <f>[1]GEOMETRY_PROCESSING!N11</f>
        <v>1005.9165404502407</v>
      </c>
      <c r="M93" s="3">
        <f>[2]INPUTS!T10</f>
        <v>39604.400000000001</v>
      </c>
      <c r="N93" s="3">
        <f>[1]GEOMETRY_PROCESSING!M10</f>
        <v>1321.7710007211492</v>
      </c>
      <c r="O93" s="3">
        <f>[1]GEOMETRY_PROCESSING!N10</f>
        <v>1107.0391571361602</v>
      </c>
      <c r="P93" s="3">
        <v>5</v>
      </c>
      <c r="Q93" s="3">
        <f>P93</f>
        <v>5</v>
      </c>
      <c r="R93" s="2">
        <v>7041.6001020000003</v>
      </c>
      <c r="S93" s="2">
        <f>R93*P93</f>
        <v>35208.000509999998</v>
      </c>
      <c r="T93" s="1"/>
    </row>
    <row r="94" spans="1:20" ht="15" x14ac:dyDescent="0.25">
      <c r="A94" s="5"/>
      <c r="B94" s="2" t="s">
        <v>11</v>
      </c>
      <c r="C94" s="2">
        <f>S94*0.00283</f>
        <v>113.43535990734999</v>
      </c>
      <c r="D94" s="3">
        <f>[2]INPUTS!T11+60</f>
        <v>39664.400000000001</v>
      </c>
      <c r="E94" s="3">
        <f>[1]GEOMETRY_PROCESSING!M11</f>
        <v>1381.3531075159215</v>
      </c>
      <c r="F94" s="3">
        <f>[1]GEOMETRY_PROCESSING!N11</f>
        <v>1005.9165404502407</v>
      </c>
      <c r="G94" s="3">
        <f>[2]INPUTS!T12+60</f>
        <v>39664.400000000001</v>
      </c>
      <c r="H94" s="3">
        <f>[1]GEOMETRY_PROCESSING!M12</f>
        <v>1438.7367967424452</v>
      </c>
      <c r="I94" s="3">
        <f>[1]GEOMETRY_PROCESSING!N12</f>
        <v>885.19743247672966</v>
      </c>
      <c r="J94" s="3">
        <f>[2]INPUTS!T12</f>
        <v>39604.400000000001</v>
      </c>
      <c r="K94" s="3">
        <f>[1]GEOMETRY_PROCESSING!M12</f>
        <v>1438.7367967424452</v>
      </c>
      <c r="L94" s="3">
        <f>[1]GEOMETRY_PROCESSING!N12</f>
        <v>885.19743247672966</v>
      </c>
      <c r="M94" s="3">
        <f>[2]INPUTS!T11</f>
        <v>39604.400000000001</v>
      </c>
      <c r="N94" s="3">
        <f>[1]GEOMETRY_PROCESSING!M11</f>
        <v>1381.3531075159215</v>
      </c>
      <c r="O94" s="3">
        <f>[1]GEOMETRY_PROCESSING!N11</f>
        <v>1005.9165404502407</v>
      </c>
      <c r="P94" s="3">
        <v>5</v>
      </c>
      <c r="Q94" s="3">
        <f>P94</f>
        <v>5</v>
      </c>
      <c r="R94" s="2">
        <v>8016.6332089999996</v>
      </c>
      <c r="S94" s="2">
        <f>R94*P94</f>
        <v>40083.166044999998</v>
      </c>
      <c r="T94" s="1"/>
    </row>
    <row r="95" spans="1:20" ht="15" x14ac:dyDescent="0.25">
      <c r="A95" s="5"/>
      <c r="B95" s="2" t="s">
        <v>10</v>
      </c>
      <c r="C95" s="2">
        <f>S95*0.00283</f>
        <v>104.07347989505</v>
      </c>
      <c r="D95" s="3">
        <f>[2]INPUTS!T12+60</f>
        <v>39664.400000000001</v>
      </c>
      <c r="E95" s="3">
        <f>[1]GEOMETRY_PROCESSING!M12</f>
        <v>1438.7367967424452</v>
      </c>
      <c r="F95" s="3">
        <f>[1]GEOMETRY_PROCESSING!N12</f>
        <v>885.19743247672966</v>
      </c>
      <c r="G95" s="3">
        <f>[2]INPUTS!T13+60</f>
        <v>39664.400000000001</v>
      </c>
      <c r="H95" s="3">
        <f>[1]GEOMETRY_PROCESSING!M13</f>
        <v>1479.2078353622628</v>
      </c>
      <c r="I95" s="3">
        <f>[1]GEOMETRY_PROCESSING!N13</f>
        <v>769.51180517682155</v>
      </c>
      <c r="J95" s="3">
        <f>[2]INPUTS!T13</f>
        <v>39604.400000000001</v>
      </c>
      <c r="K95" s="3">
        <f>[1]GEOMETRY_PROCESSING!M13</f>
        <v>1479.2078353622628</v>
      </c>
      <c r="L95" s="3">
        <f>[1]GEOMETRY_PROCESSING!N13</f>
        <v>769.51180517682155</v>
      </c>
      <c r="M95" s="3">
        <f>[2]INPUTS!T12</f>
        <v>39604.400000000001</v>
      </c>
      <c r="N95" s="3">
        <f>[1]GEOMETRY_PROCESSING!M12</f>
        <v>1438.7367967424452</v>
      </c>
      <c r="O95" s="3">
        <f>[1]GEOMETRY_PROCESSING!N12</f>
        <v>885.19743247672966</v>
      </c>
      <c r="P95" s="3">
        <v>5</v>
      </c>
      <c r="Q95" s="3">
        <f>P95</f>
        <v>5</v>
      </c>
      <c r="R95" s="2">
        <v>7355.0162469999996</v>
      </c>
      <c r="S95" s="2">
        <f>R95*P95</f>
        <v>36775.081234999998</v>
      </c>
      <c r="T95" s="1"/>
    </row>
    <row r="96" spans="1:20" ht="15" x14ac:dyDescent="0.25">
      <c r="A96" s="5"/>
      <c r="B96" s="2" t="s">
        <v>9</v>
      </c>
      <c r="C96" s="2">
        <f>S96*0.00283</f>
        <v>126.38077233174998</v>
      </c>
      <c r="D96" s="3">
        <f>[2]INPUTS!T13+60</f>
        <v>39664.400000000001</v>
      </c>
      <c r="E96" s="3">
        <f>[1]GEOMETRY_PROCESSING!M13</f>
        <v>1479.2078353622628</v>
      </c>
      <c r="F96" s="3">
        <f>[1]GEOMETRY_PROCESSING!N13</f>
        <v>769.51180517682155</v>
      </c>
      <c r="G96" s="3">
        <f>[2]INPUTS!T14+60</f>
        <v>39664.400000000001</v>
      </c>
      <c r="H96" s="3">
        <f>[1]GEOMETRY_PROCESSING!M14</f>
        <v>1513.2556805919448</v>
      </c>
      <c r="I96" s="3">
        <f>[1]GEOMETRY_PROCESSING!N14</f>
        <v>624.60817415395661</v>
      </c>
      <c r="J96" s="3">
        <f>[2]INPUTS!T14</f>
        <v>39604.400000000001</v>
      </c>
      <c r="K96" s="3">
        <f>[1]GEOMETRY_PROCESSING!M14</f>
        <v>1513.2556805919448</v>
      </c>
      <c r="L96" s="3">
        <f>[1]GEOMETRY_PROCESSING!N14</f>
        <v>624.60817415395661</v>
      </c>
      <c r="M96" s="3">
        <f>[2]INPUTS!T13</f>
        <v>39604.400000000001</v>
      </c>
      <c r="N96" s="3">
        <f>[1]GEOMETRY_PROCESSING!M13</f>
        <v>1479.2078353622628</v>
      </c>
      <c r="O96" s="3">
        <f>[1]GEOMETRY_PROCESSING!N13</f>
        <v>769.51180517682155</v>
      </c>
      <c r="P96" s="3">
        <v>5</v>
      </c>
      <c r="Q96" s="3">
        <f>P96</f>
        <v>5</v>
      </c>
      <c r="R96" s="2">
        <v>8931.5033449999992</v>
      </c>
      <c r="S96" s="2">
        <f>R96*P96</f>
        <v>44657.516724999994</v>
      </c>
      <c r="T96" s="1"/>
    </row>
    <row r="97" spans="1:20" ht="15" x14ac:dyDescent="0.25">
      <c r="A97" s="5"/>
      <c r="B97" s="2" t="s">
        <v>8</v>
      </c>
      <c r="C97" s="2">
        <f>S97*0.00283</f>
        <v>127.22102819775</v>
      </c>
      <c r="D97" s="3">
        <f>[2]INPUTS!T14+60</f>
        <v>39664.400000000001</v>
      </c>
      <c r="E97" s="3">
        <f>[1]GEOMETRY_PROCESSING!M14</f>
        <v>1513.2556805919448</v>
      </c>
      <c r="F97" s="3">
        <f>[1]GEOMETRY_PROCESSING!N14</f>
        <v>624.60817415395661</v>
      </c>
      <c r="G97" s="3">
        <f>[2]INPUTS!T15+60</f>
        <v>39664.400000000001</v>
      </c>
      <c r="H97" s="3">
        <f>[1]GEOMETRY_PROCESSING!M15</f>
        <v>1532.6253797989684</v>
      </c>
      <c r="I97" s="3">
        <f>[1]GEOMETRY_PROCESSING!N15</f>
        <v>476.02305228501859</v>
      </c>
      <c r="J97" s="3">
        <f>[2]INPUTS!T15</f>
        <v>39604.400000000001</v>
      </c>
      <c r="K97" s="3">
        <f>[1]GEOMETRY_PROCESSING!M15</f>
        <v>1532.6253797989684</v>
      </c>
      <c r="L97" s="3">
        <f>[1]GEOMETRY_PROCESSING!N15</f>
        <v>476.02305228501859</v>
      </c>
      <c r="M97" s="3">
        <f>[2]INPUTS!T14</f>
        <v>39604.400000000001</v>
      </c>
      <c r="N97" s="3">
        <f>[1]GEOMETRY_PROCESSING!M14</f>
        <v>1513.2556805919448</v>
      </c>
      <c r="O97" s="3">
        <f>[1]GEOMETRY_PROCESSING!N14</f>
        <v>624.60817415395661</v>
      </c>
      <c r="P97" s="3">
        <v>5</v>
      </c>
      <c r="Q97" s="3">
        <f>P97</f>
        <v>5</v>
      </c>
      <c r="R97" s="2">
        <v>8990.8853849999996</v>
      </c>
      <c r="S97" s="2">
        <f>R97*P97</f>
        <v>44954.426925</v>
      </c>
      <c r="T97" s="1"/>
    </row>
    <row r="98" spans="1:20" ht="15" x14ac:dyDescent="0.25">
      <c r="A98" s="5"/>
      <c r="B98" s="2" t="s">
        <v>7</v>
      </c>
      <c r="C98" s="2">
        <f>S98*0.00283</f>
        <v>125.4492524042</v>
      </c>
      <c r="D98" s="3">
        <f>[2]INPUTS!T15+60</f>
        <v>39664.400000000001</v>
      </c>
      <c r="E98" s="3">
        <f>[1]GEOMETRY_PROCESSING!M15</f>
        <v>1532.6253797989684</v>
      </c>
      <c r="F98" s="3">
        <f>[1]GEOMETRY_PROCESSING!N15</f>
        <v>476.02305228501859</v>
      </c>
      <c r="G98" s="3">
        <f>[2]INPUTS!T16+60</f>
        <v>39664.400000000001</v>
      </c>
      <c r="H98" s="3">
        <f>[1]GEOMETRY_PROCESSING!M16</f>
        <v>1539.4509554931237</v>
      </c>
      <c r="I98" s="3">
        <f>[1]GEOMETRY_PROCESSING!N16</f>
        <v>328.41990956388781</v>
      </c>
      <c r="J98" s="3">
        <f>[2]INPUTS!T16</f>
        <v>39604.400000000001</v>
      </c>
      <c r="K98" s="3">
        <f>[1]GEOMETRY_PROCESSING!M16</f>
        <v>1539.4509554931237</v>
      </c>
      <c r="L98" s="3">
        <f>[1]GEOMETRY_PROCESSING!N16</f>
        <v>328.41990956388781</v>
      </c>
      <c r="M98" s="3">
        <f>[2]INPUTS!T15</f>
        <v>39604.400000000001</v>
      </c>
      <c r="N98" s="3">
        <f>[1]GEOMETRY_PROCESSING!M15</f>
        <v>1532.6253797989684</v>
      </c>
      <c r="O98" s="3">
        <f>[1]GEOMETRY_PROCESSING!N15</f>
        <v>476.02305228501859</v>
      </c>
      <c r="P98" s="3">
        <v>5</v>
      </c>
      <c r="Q98" s="3">
        <f>P98</f>
        <v>5</v>
      </c>
      <c r="R98" s="2">
        <v>8865.6715480000003</v>
      </c>
      <c r="S98" s="2">
        <f>R98*P98</f>
        <v>44328.357739999999</v>
      </c>
      <c r="T98" s="1"/>
    </row>
    <row r="99" spans="1:20" ht="15" x14ac:dyDescent="0.25">
      <c r="A99" s="5"/>
      <c r="B99" s="2" t="s">
        <v>6</v>
      </c>
      <c r="C99" s="2">
        <f>S99*0.00283</f>
        <v>127.94982091964999</v>
      </c>
      <c r="D99" s="3">
        <f>[2]INPUTS!T16+60</f>
        <v>39664.400000000001</v>
      </c>
      <c r="E99" s="3">
        <f>[1]GEOMETRY_PROCESSING!M16</f>
        <v>1539.4509554931237</v>
      </c>
      <c r="F99" s="3">
        <f>[1]GEOMETRY_PROCESSING!N16</f>
        <v>328.41990956388781</v>
      </c>
      <c r="G99" s="3">
        <f>[2]INPUTS!T17+60</f>
        <v>39664.400000000001</v>
      </c>
      <c r="H99" s="3">
        <f>[1]GEOMETRY_PROCESSING!M17</f>
        <v>1538.1255523483728</v>
      </c>
      <c r="I99" s="3">
        <f>[1]GEOMETRY_PROCESSING!N17</f>
        <v>177.65752634956843</v>
      </c>
      <c r="J99" s="3">
        <f>[2]INPUTS!T17</f>
        <v>39604.400000000001</v>
      </c>
      <c r="K99" s="3">
        <f>[1]GEOMETRY_PROCESSING!M17</f>
        <v>1538.1255523483728</v>
      </c>
      <c r="L99" s="3">
        <f>[1]GEOMETRY_PROCESSING!N17</f>
        <v>177.65752634956843</v>
      </c>
      <c r="M99" s="3">
        <f>[2]INPUTS!T16</f>
        <v>39604.400000000001</v>
      </c>
      <c r="N99" s="3">
        <f>[1]GEOMETRY_PROCESSING!M16</f>
        <v>1539.4509554931237</v>
      </c>
      <c r="O99" s="3">
        <f>[1]GEOMETRY_PROCESSING!N16</f>
        <v>328.41990956388781</v>
      </c>
      <c r="P99" s="3">
        <v>5</v>
      </c>
      <c r="Q99" s="3">
        <f>P99</f>
        <v>5</v>
      </c>
      <c r="R99" s="2">
        <v>9042.3901709999991</v>
      </c>
      <c r="S99" s="2">
        <f>R99*P99</f>
        <v>45211.950854999995</v>
      </c>
      <c r="T99" s="1"/>
    </row>
    <row r="100" spans="1:20" ht="15" x14ac:dyDescent="0.25">
      <c r="A100" s="5"/>
      <c r="B100" s="2" t="s">
        <v>5</v>
      </c>
      <c r="C100" s="2">
        <f>S100*0.00283</f>
        <v>111.2951247077</v>
      </c>
      <c r="D100" s="3">
        <f>[2]INPUTS!T17+60</f>
        <v>39664.400000000001</v>
      </c>
      <c r="E100" s="3">
        <f>[1]GEOMETRY_PROCESSING!M17</f>
        <v>1538.1255523483728</v>
      </c>
      <c r="F100" s="3">
        <f>[1]GEOMETRY_PROCESSING!N17</f>
        <v>177.65752634956843</v>
      </c>
      <c r="G100" s="3">
        <f>[2]INPUTS!T18+60</f>
        <v>39664.400000000001</v>
      </c>
      <c r="H100" s="3">
        <f>[1]GEOMETRY_PROCESSING!M18</f>
        <v>1527.9589938513384</v>
      </c>
      <c r="I100" s="3">
        <f>[1]GEOMETRY_PROCESSING!N18</f>
        <v>46.960080396665241</v>
      </c>
      <c r="J100" s="3">
        <f>[2]INPUTS!T18</f>
        <v>39604.400000000001</v>
      </c>
      <c r="K100" s="3">
        <f>[1]GEOMETRY_PROCESSING!M18</f>
        <v>1527.9589938513384</v>
      </c>
      <c r="L100" s="3">
        <f>[1]GEOMETRY_PROCESSING!N18</f>
        <v>46.960080396665241</v>
      </c>
      <c r="M100" s="3">
        <f>[2]INPUTS!T17</f>
        <v>39604.400000000001</v>
      </c>
      <c r="N100" s="3">
        <f>[1]GEOMETRY_PROCESSING!M17</f>
        <v>1538.1255523483728</v>
      </c>
      <c r="O100" s="3">
        <f>[1]GEOMETRY_PROCESSING!N17</f>
        <v>177.65752634956843</v>
      </c>
      <c r="P100" s="3">
        <v>5</v>
      </c>
      <c r="Q100" s="3">
        <f>P100</f>
        <v>5</v>
      </c>
      <c r="R100" s="2">
        <v>7865.3798379999998</v>
      </c>
      <c r="S100" s="2">
        <f>R100*P100</f>
        <v>39326.899189999996</v>
      </c>
      <c r="T100" s="1"/>
    </row>
    <row r="101" spans="1:20" ht="15" x14ac:dyDescent="0.25">
      <c r="A101" s="5"/>
      <c r="B101" s="2" t="s">
        <v>4</v>
      </c>
      <c r="C101" s="2">
        <f>S101*0.00283</f>
        <v>112.3763352637</v>
      </c>
      <c r="D101" s="3">
        <f>[2]INPUTS!T18+60</f>
        <v>39664.400000000001</v>
      </c>
      <c r="E101" s="3">
        <f>[1]GEOMETRY_PROCESSING!M18</f>
        <v>1527.9589938513384</v>
      </c>
      <c r="F101" s="3">
        <f>[1]GEOMETRY_PROCESSING!N18</f>
        <v>46.960080396665241</v>
      </c>
      <c r="G101" s="3">
        <f>[2]INPUTS!T19+60</f>
        <v>39664.400000000001</v>
      </c>
      <c r="H101" s="3">
        <f>[1]GEOMETRY_PROCESSING!M19</f>
        <v>1503.090174364565</v>
      </c>
      <c r="I101" s="3">
        <f>[1]GEOMETRY_PROCESSING!N19</f>
        <v>-83.007436989602795</v>
      </c>
      <c r="J101" s="3">
        <f>[2]INPUTS!T19</f>
        <v>39604.400000000001</v>
      </c>
      <c r="K101" s="3">
        <f>[1]GEOMETRY_PROCESSING!M19</f>
        <v>1503.090174364565</v>
      </c>
      <c r="L101" s="3">
        <f>[1]GEOMETRY_PROCESSING!N19</f>
        <v>-83.007436989602795</v>
      </c>
      <c r="M101" s="3">
        <f>[2]INPUTS!T18</f>
        <v>39604.400000000001</v>
      </c>
      <c r="N101" s="3">
        <f>[1]GEOMETRY_PROCESSING!M18</f>
        <v>1527.9589938513384</v>
      </c>
      <c r="O101" s="3">
        <f>[1]GEOMETRY_PROCESSING!N18</f>
        <v>46.960080396665241</v>
      </c>
      <c r="P101" s="3">
        <v>5</v>
      </c>
      <c r="Q101" s="3">
        <f>P101</f>
        <v>5</v>
      </c>
      <c r="R101" s="2">
        <v>7941.7904779999999</v>
      </c>
      <c r="S101" s="2">
        <f>R101*P101</f>
        <v>39708.952389999999</v>
      </c>
      <c r="T101" s="1"/>
    </row>
    <row r="102" spans="1:20" ht="15" x14ac:dyDescent="0.25">
      <c r="A102" s="5"/>
      <c r="B102" s="2" t="s">
        <v>3</v>
      </c>
      <c r="C102" s="2">
        <f>S102*0.00283</f>
        <v>115.63582586965001</v>
      </c>
      <c r="D102" s="3">
        <f>[2]INPUTS!T19+60</f>
        <v>39664.400000000001</v>
      </c>
      <c r="E102" s="3">
        <f>[1]GEOMETRY_PROCESSING!M19</f>
        <v>1503.090174364565</v>
      </c>
      <c r="F102" s="3">
        <f>[1]GEOMETRY_PROCESSING!N19</f>
        <v>-83.007436989602795</v>
      </c>
      <c r="G102" s="3">
        <f>[2]INPUTS!T20+60</f>
        <v>39664.400000000001</v>
      </c>
      <c r="H102" s="3">
        <f>[1]GEOMETRY_PROCESSING!M20</f>
        <v>1460.9018366119258</v>
      </c>
      <c r="I102" s="3">
        <f>[1]GEOMETRY_PROCESSING!N20</f>
        <v>-212.50654634548081</v>
      </c>
      <c r="J102" s="3">
        <f>[2]INPUTS!T20</f>
        <v>39604.400000000001</v>
      </c>
      <c r="K102" s="3">
        <f>[1]GEOMETRY_PROCESSING!M20</f>
        <v>1460.9018366119258</v>
      </c>
      <c r="L102" s="3">
        <f>[1]GEOMETRY_PROCESSING!N20</f>
        <v>-212.50654634548081</v>
      </c>
      <c r="M102" s="3">
        <f>[2]INPUTS!T19</f>
        <v>39604.400000000001</v>
      </c>
      <c r="N102" s="3">
        <f>[1]GEOMETRY_PROCESSING!M19</f>
        <v>1503.090174364565</v>
      </c>
      <c r="O102" s="3">
        <f>[1]GEOMETRY_PROCESSING!N19</f>
        <v>-83.007436989602795</v>
      </c>
      <c r="P102" s="3">
        <v>5</v>
      </c>
      <c r="Q102" s="3">
        <f>P102</f>
        <v>5</v>
      </c>
      <c r="R102" s="2">
        <v>8172.1431709999997</v>
      </c>
      <c r="S102" s="2">
        <f>R102*P102</f>
        <v>40860.715855000002</v>
      </c>
      <c r="T102" s="1"/>
    </row>
    <row r="103" spans="1:20" ht="15" x14ac:dyDescent="0.25">
      <c r="A103" s="5"/>
      <c r="B103" s="2" t="s">
        <v>2</v>
      </c>
      <c r="C103" s="2">
        <f>S103*0.00283</f>
        <v>108.02086274695</v>
      </c>
      <c r="D103" s="3">
        <f>[2]INPUTS!T20+60</f>
        <v>39664.400000000001</v>
      </c>
      <c r="E103" s="3">
        <f>[1]GEOMETRY_PROCESSING!M20</f>
        <v>1460.9018366119258</v>
      </c>
      <c r="F103" s="3">
        <f>[1]GEOMETRY_PROCESSING!N20</f>
        <v>-212.50654634548081</v>
      </c>
      <c r="G103" s="3">
        <f>[2]INPUTS!T21+60</f>
        <v>39664.400000000001</v>
      </c>
      <c r="H103" s="3">
        <f>[1]GEOMETRY_PROCESSING!M21</f>
        <v>1409.2692623232501</v>
      </c>
      <c r="I103" s="3">
        <f>[1]GEOMETRY_PROCESSING!N21</f>
        <v>-328.7988115622893</v>
      </c>
      <c r="J103" s="3">
        <f>[2]INPUTS!T21</f>
        <v>39604.400000000001</v>
      </c>
      <c r="K103" s="3">
        <f>[1]GEOMETRY_PROCESSING!M21</f>
        <v>1409.2692623232501</v>
      </c>
      <c r="L103" s="3">
        <f>[1]GEOMETRY_PROCESSING!N21</f>
        <v>-328.7988115622893</v>
      </c>
      <c r="M103" s="3">
        <f>[2]INPUTS!T20</f>
        <v>39604.400000000001</v>
      </c>
      <c r="N103" s="3">
        <f>[1]GEOMETRY_PROCESSING!M20</f>
        <v>1460.9018366119258</v>
      </c>
      <c r="O103" s="3">
        <f>[1]GEOMETRY_PROCESSING!N20</f>
        <v>-212.50654634548081</v>
      </c>
      <c r="P103" s="3">
        <v>5</v>
      </c>
      <c r="Q103" s="3">
        <f>P103</f>
        <v>5</v>
      </c>
      <c r="R103" s="2">
        <v>7633.9832329999999</v>
      </c>
      <c r="S103" s="2">
        <f>R103*P103</f>
        <v>38169.916165000002</v>
      </c>
      <c r="T103" s="1"/>
    </row>
    <row r="104" spans="1:20" ht="15" x14ac:dyDescent="0.25">
      <c r="A104" s="5"/>
      <c r="B104" s="2" t="s">
        <v>1</v>
      </c>
      <c r="C104" s="2">
        <f>S104*0.00283</f>
        <v>133.44381497329999</v>
      </c>
      <c r="D104" s="3">
        <f>[2]INPUTS!T21+60</f>
        <v>39664.400000000001</v>
      </c>
      <c r="E104" s="3">
        <f>[1]GEOMETRY_PROCESSING!M21</f>
        <v>1409.2692623232501</v>
      </c>
      <c r="F104" s="3">
        <f>[1]GEOMETRY_PROCESSING!N21</f>
        <v>-328.7988115622893</v>
      </c>
      <c r="G104" s="3">
        <f>[2]INPUTS!T22+60</f>
        <v>39664.400000000001</v>
      </c>
      <c r="H104" s="3">
        <f>[1]GEOMETRY_PROCESSING!M22</f>
        <v>1334.8182118947632</v>
      </c>
      <c r="I104" s="3">
        <f>[1]GEOMETRY_PROCESSING!N22</f>
        <v>-467.20474996454232</v>
      </c>
      <c r="J104" s="3">
        <f>[2]INPUTS!T22</f>
        <v>39604.400000000001</v>
      </c>
      <c r="K104" s="3">
        <f>[1]GEOMETRY_PROCESSING!M22</f>
        <v>1334.8182118947632</v>
      </c>
      <c r="L104" s="3">
        <f>[1]GEOMETRY_PROCESSING!N22</f>
        <v>-467.20474996454232</v>
      </c>
      <c r="M104" s="3">
        <f>[2]INPUTS!T21</f>
        <v>39604.400000000001</v>
      </c>
      <c r="N104" s="3">
        <f>[1]GEOMETRY_PROCESSING!M21</f>
        <v>1409.2692623232501</v>
      </c>
      <c r="O104" s="3">
        <f>[1]GEOMETRY_PROCESSING!N21</f>
        <v>-328.7988115622893</v>
      </c>
      <c r="P104" s="3">
        <v>5</v>
      </c>
      <c r="Q104" s="3">
        <f>P104</f>
        <v>5</v>
      </c>
      <c r="R104" s="2">
        <v>9430.6583019999998</v>
      </c>
      <c r="S104" s="2">
        <f>R104*P104</f>
        <v>47153.291509999995</v>
      </c>
      <c r="T104" s="1"/>
    </row>
    <row r="105" spans="1:20" ht="15" x14ac:dyDescent="0.25">
      <c r="A105" s="4"/>
      <c r="B105" s="2" t="s">
        <v>0</v>
      </c>
      <c r="C105" s="2">
        <f>S105*0.00283</f>
        <v>100.60395655165</v>
      </c>
      <c r="D105" s="3">
        <f>[2]INPUTS!T22+60</f>
        <v>39664.400000000001</v>
      </c>
      <c r="E105" s="3">
        <f>[1]GEOMETRY_PROCESSING!M22</f>
        <v>1334.8182118947632</v>
      </c>
      <c r="F105" s="3">
        <f>[1]GEOMETRY_PROCESSING!N22</f>
        <v>-467.20474996454232</v>
      </c>
      <c r="G105" s="3">
        <f>[2]INPUTS!T23+60</f>
        <v>39664.400000000001</v>
      </c>
      <c r="H105" s="3">
        <f>[1]GEOMETRY_PROCESSING!M23</f>
        <v>1277.0769666860122</v>
      </c>
      <c r="I105" s="3">
        <f>[1]GEOMETRY_PROCESSING!N23</f>
        <v>-570.70065424719212</v>
      </c>
      <c r="J105" s="3">
        <f>[2]INPUTS!T23</f>
        <v>39604.400000000001</v>
      </c>
      <c r="K105" s="3">
        <f>[1]GEOMETRY_PROCESSING!M23</f>
        <v>1277.0769666860122</v>
      </c>
      <c r="L105" s="3">
        <f>[1]GEOMETRY_PROCESSING!N23</f>
        <v>-570.70065424719212</v>
      </c>
      <c r="M105" s="3">
        <f>[2]INPUTS!T22</f>
        <v>39604.400000000001</v>
      </c>
      <c r="N105" s="3">
        <f>[1]GEOMETRY_PROCESSING!M22</f>
        <v>1334.8182118947632</v>
      </c>
      <c r="O105" s="3">
        <f>[1]GEOMETRY_PROCESSING!N22</f>
        <v>-467.20474996454232</v>
      </c>
      <c r="P105" s="3">
        <v>5</v>
      </c>
      <c r="Q105" s="3">
        <f>P105</f>
        <v>5</v>
      </c>
      <c r="R105" s="2">
        <v>7109.8202510000001</v>
      </c>
      <c r="S105" s="2">
        <f>R105*P105</f>
        <v>35549.101255000001</v>
      </c>
      <c r="T105" s="1"/>
    </row>
    <row r="106" spans="1:20" ht="15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</row>
    <row r="107" spans="1:20" ht="15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</row>
    <row r="108" spans="1:20" ht="15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</row>
    <row r="109" spans="1:20" ht="15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</row>
    <row r="110" spans="1:20" ht="15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</row>
    <row r="111" spans="1:20" ht="15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</row>
    <row r="112" spans="1:20" ht="15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</row>
    <row r="113" spans="1:20" ht="15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</row>
    <row r="114" spans="1:20" ht="15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</row>
    <row r="115" spans="1:20" ht="15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</row>
    <row r="116" spans="1:20" ht="15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</row>
    <row r="117" spans="1:20" ht="15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</row>
    <row r="118" spans="1:20" ht="15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</row>
    <row r="119" spans="1:20" ht="15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</row>
    <row r="120" spans="1:20" ht="15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</row>
    <row r="121" spans="1:20" ht="15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</row>
    <row r="122" spans="1:20" ht="15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</row>
    <row r="123" spans="1:20" ht="15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</row>
    <row r="124" spans="1:20" ht="15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</row>
    <row r="125" spans="1:20" ht="15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</row>
    <row r="126" spans="1:20" ht="15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</row>
    <row r="127" spans="1:20" ht="15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</row>
    <row r="128" spans="1:20" ht="15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</row>
    <row r="129" spans="1:20" ht="15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</row>
    <row r="130" spans="1:20" ht="15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</row>
    <row r="131" spans="1:20" ht="15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</row>
    <row r="132" spans="1:20" ht="15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</row>
    <row r="133" spans="1:20" ht="15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</row>
    <row r="134" spans="1:20" ht="15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</row>
    <row r="135" spans="1:20" ht="15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</row>
    <row r="136" spans="1:20" ht="15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</row>
    <row r="137" spans="1:20" ht="15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</row>
    <row r="138" spans="1:20" ht="15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</row>
    <row r="139" spans="1:20" ht="15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</row>
    <row r="140" spans="1:20" ht="15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</row>
    <row r="141" spans="1:20" ht="15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</row>
    <row r="142" spans="1:20" ht="15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</row>
    <row r="143" spans="1:20" ht="15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</row>
    <row r="144" spans="1:20" ht="15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</row>
    <row r="145" spans="1:20" ht="15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</row>
    <row r="146" spans="1:20" ht="15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</row>
    <row r="147" spans="1:20" ht="15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</row>
    <row r="148" spans="1:20" ht="15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</row>
    <row r="149" spans="1:20" ht="15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</row>
    <row r="150" spans="1:20" ht="15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</row>
    <row r="151" spans="1:20" ht="15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</row>
    <row r="152" spans="1:20" ht="15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</row>
    <row r="153" spans="1:20" ht="15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</row>
    <row r="154" spans="1:20" ht="15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</row>
    <row r="155" spans="1:20" ht="15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</row>
    <row r="156" spans="1:20" ht="15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</row>
    <row r="157" spans="1:20" ht="15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</row>
    <row r="158" spans="1:20" ht="15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</row>
    <row r="159" spans="1:20" ht="15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</row>
    <row r="160" spans="1:20" ht="15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</row>
    <row r="161" spans="1:20" ht="15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</row>
    <row r="162" spans="1:20" ht="15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</row>
    <row r="163" spans="1:20" ht="15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</row>
    <row r="164" spans="1:20" ht="15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</row>
    <row r="165" spans="1:20" ht="15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</row>
    <row r="166" spans="1:20" ht="15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</row>
    <row r="167" spans="1:20" ht="15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</row>
    <row r="168" spans="1:20" ht="15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</row>
    <row r="169" spans="1:20" ht="15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</row>
    <row r="170" spans="1:20" ht="15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</row>
    <row r="171" spans="1:20" ht="15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</row>
    <row r="172" spans="1:20" ht="15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</row>
    <row r="173" spans="1:20" ht="15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</row>
    <row r="174" spans="1:20" ht="15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</row>
    <row r="175" spans="1:20" ht="15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</row>
    <row r="176" spans="1:20" ht="15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</row>
    <row r="177" spans="1:20" ht="15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</row>
    <row r="178" spans="1:20" ht="15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</row>
    <row r="179" spans="1:20" ht="15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</row>
    <row r="180" spans="1:20" ht="15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</row>
    <row r="181" spans="1:20" ht="15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</row>
    <row r="182" spans="1:20" ht="15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</row>
    <row r="183" spans="1:20" ht="15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</row>
    <row r="184" spans="1:20" ht="15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</row>
    <row r="185" spans="1:20" ht="15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</row>
    <row r="186" spans="1:20" ht="15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</row>
    <row r="187" spans="1:20" ht="15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</row>
    <row r="188" spans="1:20" ht="15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</row>
    <row r="189" spans="1:20" ht="15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</row>
    <row r="190" spans="1:20" ht="15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</row>
    <row r="191" spans="1:20" ht="15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</row>
    <row r="192" spans="1:20" ht="15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</row>
    <row r="193" spans="1:20" ht="15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</row>
    <row r="194" spans="1:20" ht="15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</row>
    <row r="195" spans="1:20" ht="15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</row>
    <row r="196" spans="1:20" ht="15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</row>
    <row r="197" spans="1:20" ht="15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</row>
    <row r="198" spans="1:20" ht="15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</row>
    <row r="199" spans="1:20" ht="15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</row>
    <row r="200" spans="1:20" ht="15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</row>
    <row r="201" spans="1:20" ht="15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</row>
    <row r="202" spans="1:20" ht="15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</row>
    <row r="203" spans="1:20" ht="15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</row>
    <row r="204" spans="1:20" ht="15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</row>
    <row r="205" spans="1:20" ht="15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</row>
    <row r="206" spans="1:20" ht="15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</row>
    <row r="207" spans="1:20" ht="15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</row>
    <row r="208" spans="1:20" ht="15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</row>
    <row r="209" spans="1:20" ht="15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</row>
    <row r="210" spans="1:20" ht="15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</row>
    <row r="211" spans="1:20" ht="15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</row>
    <row r="212" spans="1:20" ht="15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</row>
    <row r="213" spans="1:20" ht="15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</row>
    <row r="214" spans="1:20" ht="15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</row>
    <row r="215" spans="1:20" ht="15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</row>
    <row r="216" spans="1:20" ht="15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</row>
    <row r="217" spans="1:20" ht="15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</row>
    <row r="218" spans="1:20" ht="15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</row>
    <row r="219" spans="1:20" ht="15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</row>
    <row r="220" spans="1:20" ht="15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</row>
    <row r="221" spans="1:20" ht="15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</row>
    <row r="222" spans="1:20" ht="15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</row>
    <row r="223" spans="1:20" ht="15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</row>
    <row r="224" spans="1:20" ht="15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</row>
    <row r="225" spans="1:20" ht="15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</row>
    <row r="226" spans="1:20" ht="15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</row>
    <row r="227" spans="1:20" ht="15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</row>
    <row r="228" spans="1:20" ht="15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</row>
    <row r="229" spans="1:20" ht="15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</row>
    <row r="230" spans="1:20" ht="15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</row>
    <row r="231" spans="1:20" ht="15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</row>
    <row r="232" spans="1:20" ht="15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</row>
    <row r="233" spans="1:20" ht="15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</row>
    <row r="234" spans="1:20" ht="15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</row>
    <row r="235" spans="1:20" ht="15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</row>
    <row r="236" spans="1:20" ht="15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</row>
    <row r="237" spans="1:20" ht="15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</row>
    <row r="238" spans="1:20" ht="15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</row>
    <row r="239" spans="1:20" ht="15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</row>
    <row r="240" spans="1:20" ht="15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</row>
    <row r="241" spans="1:20" ht="15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</row>
    <row r="242" spans="1:20" ht="15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</row>
    <row r="243" spans="1:20" ht="15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</row>
    <row r="244" spans="1:20" ht="15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</row>
    <row r="245" spans="1:20" ht="15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</row>
    <row r="246" spans="1:20" ht="15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</row>
    <row r="247" spans="1:20" ht="15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</row>
    <row r="248" spans="1:20" ht="15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</row>
    <row r="249" spans="1:20" ht="15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</row>
    <row r="250" spans="1:20" ht="15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</row>
    <row r="251" spans="1:20" ht="15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</row>
    <row r="252" spans="1:20" ht="15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</row>
    <row r="253" spans="1:20" ht="15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</row>
    <row r="254" spans="1:20" ht="15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</row>
    <row r="255" spans="1:20" ht="15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</row>
    <row r="256" spans="1:20" ht="15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</row>
    <row r="257" spans="1:20" ht="15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</row>
    <row r="258" spans="1:20" ht="15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</row>
    <row r="259" spans="1:20" ht="15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</row>
    <row r="260" spans="1:20" ht="15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</row>
    <row r="261" spans="1:20" ht="15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</row>
    <row r="262" spans="1:20" ht="15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</row>
    <row r="263" spans="1:20" ht="15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</row>
    <row r="264" spans="1:20" ht="15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</row>
    <row r="265" spans="1:20" ht="15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</row>
    <row r="266" spans="1:20" ht="15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</row>
    <row r="267" spans="1:20" ht="15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</row>
    <row r="268" spans="1:20" ht="15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</row>
    <row r="269" spans="1:20" ht="15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</row>
    <row r="270" spans="1:20" ht="15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</row>
    <row r="271" spans="1:20" ht="15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</row>
    <row r="272" spans="1:20" ht="15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</row>
    <row r="273" spans="1:20" ht="15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</row>
    <row r="274" spans="1:20" ht="15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</row>
    <row r="275" spans="1:20" ht="15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</row>
    <row r="276" spans="1:20" ht="15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</row>
    <row r="277" spans="1:20" ht="15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</row>
    <row r="278" spans="1:20" ht="15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</row>
    <row r="279" spans="1:20" ht="15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</row>
    <row r="280" spans="1:20" ht="15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</row>
    <row r="281" spans="1:20" ht="15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</row>
    <row r="282" spans="1:20" ht="15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</row>
    <row r="283" spans="1:20" ht="15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</row>
    <row r="284" spans="1:20" ht="15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</row>
    <row r="285" spans="1:20" ht="15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</row>
    <row r="286" spans="1:20" ht="15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</row>
    <row r="287" spans="1:20" ht="15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</row>
    <row r="288" spans="1:20" ht="15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</row>
    <row r="289" spans="1:20" ht="15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</row>
    <row r="290" spans="1:20" ht="15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</row>
    <row r="291" spans="1:20" ht="15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</row>
    <row r="292" spans="1:20" ht="15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</row>
    <row r="293" spans="1:20" ht="15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</row>
    <row r="294" spans="1:20" ht="15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</row>
    <row r="295" spans="1:20" ht="15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</row>
    <row r="296" spans="1:20" ht="15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</row>
    <row r="297" spans="1:20" ht="15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</row>
    <row r="298" spans="1:20" ht="15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</row>
    <row r="299" spans="1:20" ht="15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</row>
    <row r="300" spans="1:20" ht="15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</row>
    <row r="301" spans="1:20" ht="15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</row>
    <row r="302" spans="1:20" ht="15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</row>
    <row r="303" spans="1:20" ht="15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</row>
    <row r="304" spans="1:20" ht="15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</row>
    <row r="305" spans="1:20" ht="15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</row>
    <row r="306" spans="1:20" ht="15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</row>
    <row r="307" spans="1:20" ht="15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</row>
    <row r="308" spans="1:20" ht="15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</row>
    <row r="309" spans="1:20" ht="15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</row>
    <row r="310" spans="1:20" ht="15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</row>
    <row r="311" spans="1:20" ht="15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</row>
    <row r="312" spans="1:20" ht="15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</row>
    <row r="313" spans="1:20" ht="15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</row>
    <row r="314" spans="1:20" ht="15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</row>
    <row r="315" spans="1:20" ht="15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</row>
    <row r="316" spans="1:20" ht="15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</row>
    <row r="317" spans="1:20" ht="15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</row>
    <row r="318" spans="1:20" ht="15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</row>
    <row r="319" spans="1:20" ht="15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</row>
    <row r="320" spans="1:20" ht="15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</row>
    <row r="321" spans="1:20" ht="15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</row>
    <row r="322" spans="1:20" ht="15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</row>
    <row r="323" spans="1:20" ht="15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</row>
    <row r="324" spans="1:20" ht="15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</row>
    <row r="325" spans="1:20" ht="15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</row>
    <row r="326" spans="1:20" ht="15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</row>
    <row r="327" spans="1:20" ht="15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</row>
    <row r="328" spans="1:20" ht="15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</row>
    <row r="329" spans="1:20" ht="15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</row>
    <row r="330" spans="1:20" ht="15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</row>
    <row r="331" spans="1:20" ht="15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</row>
    <row r="332" spans="1:20" ht="15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</row>
    <row r="333" spans="1:20" ht="15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</row>
    <row r="334" spans="1:20" ht="15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</row>
    <row r="335" spans="1:20" ht="15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</row>
    <row r="336" spans="1:20" ht="15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</row>
    <row r="337" spans="1:20" ht="15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</row>
    <row r="338" spans="1:20" ht="15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</row>
    <row r="339" spans="1:20" ht="15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</row>
    <row r="340" spans="1:20" ht="15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</row>
    <row r="341" spans="1:20" ht="15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</row>
    <row r="342" spans="1:20" ht="15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</row>
    <row r="343" spans="1:20" ht="15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</row>
    <row r="344" spans="1:20" ht="15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</row>
    <row r="345" spans="1:20" ht="15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</row>
    <row r="346" spans="1:20" ht="15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</row>
    <row r="347" spans="1:20" ht="15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</row>
    <row r="348" spans="1:20" ht="15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</row>
    <row r="349" spans="1:20" ht="15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</row>
    <row r="350" spans="1:20" ht="15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</row>
    <row r="351" spans="1:20" ht="15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</row>
    <row r="352" spans="1:20" ht="15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</row>
    <row r="353" spans="1:20" ht="15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</row>
    <row r="354" spans="1:20" ht="15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</row>
    <row r="355" spans="1:20" ht="15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</row>
    <row r="356" spans="1:20" ht="15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</row>
    <row r="357" spans="1:20" ht="15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</row>
    <row r="358" spans="1:20" ht="15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</row>
    <row r="359" spans="1:20" ht="15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</row>
    <row r="360" spans="1:20" ht="15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</row>
    <row r="361" spans="1:20" ht="15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</row>
    <row r="362" spans="1:20" ht="15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</row>
    <row r="363" spans="1:20" ht="15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</row>
    <row r="364" spans="1:20" ht="15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</row>
    <row r="365" spans="1:20" ht="15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</row>
    <row r="366" spans="1:20" ht="15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</row>
    <row r="367" spans="1:20" ht="15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</row>
    <row r="368" spans="1:20" ht="15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</row>
    <row r="369" spans="1:20" ht="15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</row>
    <row r="370" spans="1:20" ht="15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</row>
    <row r="371" spans="1:20" ht="15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</row>
    <row r="372" spans="1:20" ht="15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</row>
    <row r="373" spans="1:20" ht="15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</row>
    <row r="374" spans="1:20" ht="15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</row>
    <row r="375" spans="1:20" ht="15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</row>
    <row r="376" spans="1:20" ht="15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</row>
    <row r="377" spans="1:20" ht="15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</row>
    <row r="378" spans="1:20" ht="15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</row>
    <row r="379" spans="1:20" ht="15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</row>
    <row r="380" spans="1:20" ht="15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</row>
    <row r="381" spans="1:20" ht="15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</row>
    <row r="382" spans="1:20" ht="15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</row>
    <row r="383" spans="1:20" ht="15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</row>
    <row r="384" spans="1:20" ht="15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</row>
    <row r="385" spans="1:20" ht="15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</row>
    <row r="386" spans="1:20" ht="15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</row>
    <row r="387" spans="1:20" ht="15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</row>
    <row r="388" spans="1:20" ht="15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</row>
    <row r="389" spans="1:20" ht="15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</row>
    <row r="390" spans="1:20" ht="15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</row>
    <row r="391" spans="1:20" ht="15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</row>
    <row r="392" spans="1:20" ht="15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</row>
    <row r="393" spans="1:20" ht="15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</row>
    <row r="394" spans="1:20" ht="15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</row>
    <row r="395" spans="1:20" ht="15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</row>
    <row r="396" spans="1:20" ht="15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</row>
    <row r="397" spans="1:20" ht="15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</row>
    <row r="398" spans="1:20" ht="15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</row>
    <row r="399" spans="1:20" ht="15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</row>
    <row r="400" spans="1:20" ht="15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</row>
    <row r="401" spans="1:20" ht="15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</row>
    <row r="402" spans="1:20" ht="15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</row>
    <row r="403" spans="1:20" ht="15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</row>
    <row r="404" spans="1:20" ht="15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</row>
    <row r="405" spans="1:20" ht="15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</row>
    <row r="406" spans="1:20" ht="15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</row>
    <row r="407" spans="1:20" ht="15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</row>
    <row r="408" spans="1:20" ht="15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</row>
    <row r="409" spans="1:20" ht="15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</row>
    <row r="410" spans="1:20" ht="15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</row>
    <row r="411" spans="1:20" ht="15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</row>
    <row r="412" spans="1:20" ht="15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</row>
    <row r="413" spans="1:20" ht="15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</row>
    <row r="414" spans="1:20" ht="15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</row>
    <row r="415" spans="1:20" ht="15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</row>
    <row r="416" spans="1:20" ht="15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</row>
    <row r="417" spans="1:20" ht="15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</row>
    <row r="418" spans="1:20" ht="15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</row>
    <row r="419" spans="1:20" ht="15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</row>
    <row r="420" spans="1:20" ht="15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</row>
    <row r="421" spans="1:20" ht="15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</row>
    <row r="422" spans="1:20" ht="15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</row>
    <row r="423" spans="1:20" ht="15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</row>
    <row r="424" spans="1:20" ht="15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</row>
    <row r="425" spans="1:20" ht="15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</row>
    <row r="426" spans="1:20" ht="15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</row>
    <row r="427" spans="1:20" ht="15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</row>
    <row r="428" spans="1:20" ht="15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</row>
    <row r="429" spans="1:20" ht="15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</row>
    <row r="430" spans="1:20" ht="15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</row>
    <row r="431" spans="1:20" ht="15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</row>
    <row r="432" spans="1:20" ht="15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</row>
    <row r="433" spans="1:20" ht="15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</row>
    <row r="434" spans="1:20" ht="15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</row>
    <row r="435" spans="1:20" ht="15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</row>
    <row r="436" spans="1:20" ht="15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</row>
    <row r="437" spans="1:20" ht="15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</row>
    <row r="438" spans="1:20" ht="15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</row>
    <row r="439" spans="1:20" ht="15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</row>
    <row r="440" spans="1:20" ht="15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</row>
    <row r="441" spans="1:20" ht="15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</row>
    <row r="442" spans="1:20" ht="15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</row>
    <row r="443" spans="1:20" ht="15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</row>
    <row r="444" spans="1:20" ht="15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</row>
    <row r="445" spans="1:20" ht="15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</row>
    <row r="446" spans="1:20" ht="15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</row>
    <row r="447" spans="1:20" ht="15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</row>
    <row r="448" spans="1:20" ht="15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</row>
    <row r="449" spans="1:20" ht="15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</row>
    <row r="450" spans="1:20" ht="15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</row>
    <row r="451" spans="1:20" ht="15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</row>
    <row r="452" spans="1:20" ht="15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</row>
    <row r="453" spans="1:20" ht="15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</row>
    <row r="454" spans="1:20" ht="15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</row>
    <row r="455" spans="1:20" ht="15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</row>
    <row r="456" spans="1:20" ht="15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</row>
    <row r="457" spans="1:20" ht="15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</row>
    <row r="458" spans="1:20" ht="15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</row>
    <row r="459" spans="1:20" ht="15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</row>
    <row r="460" spans="1:20" ht="15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</row>
    <row r="461" spans="1:20" ht="15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</row>
    <row r="462" spans="1:20" ht="15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</row>
    <row r="463" spans="1:20" ht="15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</row>
    <row r="464" spans="1:20" ht="15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</row>
    <row r="465" spans="1:20" ht="15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</row>
    <row r="466" spans="1:20" ht="15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</row>
    <row r="467" spans="1:20" ht="15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</row>
    <row r="468" spans="1:20" ht="15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</row>
    <row r="469" spans="1:20" ht="15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</row>
    <row r="470" spans="1:20" ht="15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</row>
    <row r="471" spans="1:20" ht="15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</row>
    <row r="472" spans="1:20" ht="15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</row>
    <row r="473" spans="1:20" ht="15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</row>
    <row r="474" spans="1:20" ht="15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</row>
    <row r="475" spans="1:20" ht="15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</row>
    <row r="476" spans="1:20" ht="15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</row>
    <row r="477" spans="1:20" ht="15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</row>
    <row r="478" spans="1:20" ht="15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</row>
    <row r="479" spans="1:20" ht="15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</row>
    <row r="480" spans="1:20" ht="15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</row>
    <row r="481" spans="1:20" ht="15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</row>
    <row r="482" spans="1:20" ht="15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</row>
    <row r="483" spans="1:20" ht="15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</row>
    <row r="484" spans="1:20" ht="15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</row>
    <row r="485" spans="1:20" ht="15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</row>
    <row r="486" spans="1:20" ht="15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</row>
    <row r="487" spans="1:20" ht="15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</row>
    <row r="488" spans="1:20" ht="15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</row>
    <row r="489" spans="1:20" ht="15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</row>
    <row r="490" spans="1:20" ht="15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</row>
    <row r="491" spans="1:20" ht="15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</row>
    <row r="492" spans="1:20" ht="15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</row>
    <row r="493" spans="1:20" ht="15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</row>
    <row r="494" spans="1:20" ht="15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</row>
    <row r="495" spans="1:20" ht="15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</row>
    <row r="496" spans="1:20" ht="15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</row>
    <row r="497" spans="1:20" ht="15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</row>
    <row r="498" spans="1:20" ht="15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</row>
    <row r="499" spans="1:20" ht="15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</row>
    <row r="500" spans="1:20" ht="15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</row>
    <row r="501" spans="1:20" ht="15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</row>
    <row r="502" spans="1:20" ht="15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</row>
    <row r="503" spans="1:20" ht="15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</row>
    <row r="504" spans="1:20" ht="15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</row>
    <row r="505" spans="1:20" ht="15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</row>
    <row r="506" spans="1:20" ht="15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</row>
    <row r="507" spans="1:20" ht="15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</row>
    <row r="508" spans="1:20" ht="15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</row>
    <row r="509" spans="1:20" ht="15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</row>
    <row r="510" spans="1:20" ht="15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</row>
    <row r="511" spans="1:20" ht="15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</row>
    <row r="512" spans="1:20" ht="15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</row>
    <row r="513" spans="1:20" ht="15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</row>
    <row r="514" spans="1:20" ht="15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</row>
    <row r="515" spans="1:20" ht="15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</row>
    <row r="516" spans="1:20" ht="15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</row>
    <row r="517" spans="1:20" ht="15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</row>
    <row r="518" spans="1:20" ht="15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</row>
    <row r="519" spans="1:20" ht="15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</row>
    <row r="520" spans="1:20" ht="15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</row>
    <row r="521" spans="1:20" ht="15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</row>
    <row r="522" spans="1:20" ht="15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</row>
    <row r="523" spans="1:20" ht="15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</row>
    <row r="524" spans="1:20" ht="15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</row>
    <row r="525" spans="1:20" ht="15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</row>
    <row r="526" spans="1:20" ht="15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</row>
    <row r="527" spans="1:20" ht="15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</row>
    <row r="528" spans="1:20" ht="15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</row>
    <row r="529" spans="1:20" ht="15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</row>
    <row r="530" spans="1:20" ht="15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</row>
    <row r="531" spans="1:20" ht="15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</row>
    <row r="532" spans="1:20" ht="15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</row>
    <row r="533" spans="1:20" ht="15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</row>
    <row r="534" spans="1:20" ht="15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</row>
    <row r="535" spans="1:20" ht="15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</row>
    <row r="536" spans="1:20" ht="15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</row>
    <row r="537" spans="1:20" ht="15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</row>
    <row r="538" spans="1:20" ht="15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</row>
    <row r="539" spans="1:20" ht="15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</row>
    <row r="540" spans="1:20" ht="15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</row>
    <row r="541" spans="1:20" ht="15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</row>
    <row r="542" spans="1:20" ht="15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</row>
    <row r="543" spans="1:20" ht="15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</row>
    <row r="544" spans="1:20" ht="15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</row>
    <row r="545" spans="1:20" ht="15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</row>
    <row r="546" spans="1:20" ht="15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</row>
    <row r="547" spans="1:20" ht="15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</row>
    <row r="548" spans="1:20" ht="15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</row>
    <row r="549" spans="1:20" ht="15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</row>
    <row r="550" spans="1:20" ht="15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</row>
    <row r="551" spans="1:20" ht="15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</row>
    <row r="552" spans="1:20" ht="15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</row>
    <row r="553" spans="1:20" ht="15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</row>
    <row r="554" spans="1:20" ht="15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</row>
    <row r="555" spans="1:20" ht="15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</row>
    <row r="556" spans="1:20" ht="15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</row>
    <row r="557" spans="1:20" ht="15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</row>
    <row r="558" spans="1:20" ht="15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</row>
    <row r="559" spans="1:20" ht="15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</row>
    <row r="560" spans="1:20" ht="15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</row>
    <row r="561" spans="1:20" ht="15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</row>
    <row r="562" spans="1:20" ht="15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</row>
    <row r="563" spans="1:20" ht="15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</row>
    <row r="564" spans="1:20" ht="15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</row>
    <row r="565" spans="1:20" ht="15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</row>
    <row r="566" spans="1:20" ht="15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</row>
    <row r="567" spans="1:20" ht="15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</row>
    <row r="568" spans="1:20" ht="15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</row>
    <row r="569" spans="1:20" ht="15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</row>
    <row r="570" spans="1:20" ht="15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</row>
    <row r="571" spans="1:20" ht="15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</row>
    <row r="572" spans="1:20" ht="15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</row>
    <row r="573" spans="1:20" ht="15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</row>
    <row r="574" spans="1:20" ht="15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</row>
    <row r="575" spans="1:20" ht="15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</row>
    <row r="576" spans="1:20" ht="15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</row>
    <row r="577" spans="1:20" ht="15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</row>
    <row r="578" spans="1:20" ht="15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</row>
    <row r="579" spans="1:20" ht="15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</row>
    <row r="580" spans="1:20" ht="15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</row>
    <row r="581" spans="1:20" ht="15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</row>
    <row r="582" spans="1:20" ht="15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</row>
    <row r="583" spans="1:20" ht="15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</row>
    <row r="584" spans="1:20" ht="15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</row>
    <row r="585" spans="1:20" ht="15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</row>
    <row r="586" spans="1:20" ht="15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</row>
    <row r="587" spans="1:20" ht="15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</row>
    <row r="588" spans="1:20" ht="15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</row>
    <row r="589" spans="1:20" ht="15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</row>
    <row r="590" spans="1:20" ht="15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</row>
    <row r="591" spans="1:20" ht="15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</row>
    <row r="592" spans="1:20" ht="15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</row>
    <row r="593" spans="1:20" ht="15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</row>
    <row r="594" spans="1:20" ht="15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</row>
    <row r="595" spans="1:20" ht="15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</row>
    <row r="596" spans="1:20" ht="15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</row>
    <row r="597" spans="1:20" ht="15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</row>
    <row r="598" spans="1:20" ht="15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</row>
    <row r="599" spans="1:20" ht="15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</row>
    <row r="600" spans="1:20" ht="15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</row>
    <row r="601" spans="1:20" ht="15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</row>
    <row r="602" spans="1:20" ht="15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</row>
    <row r="603" spans="1:20" ht="15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</row>
    <row r="604" spans="1:20" ht="15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</row>
    <row r="605" spans="1:20" ht="15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</row>
    <row r="606" spans="1:20" ht="15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</row>
    <row r="607" spans="1:20" ht="15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</row>
    <row r="608" spans="1:20" ht="15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</row>
    <row r="609" spans="1:20" ht="15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</row>
    <row r="610" spans="1:20" ht="15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</row>
    <row r="611" spans="1:20" ht="15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</row>
    <row r="612" spans="1:20" ht="15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</row>
    <row r="613" spans="1:20" ht="15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</row>
    <row r="614" spans="1:20" ht="15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</row>
    <row r="615" spans="1:20" ht="15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</row>
    <row r="616" spans="1:20" ht="15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</row>
    <row r="617" spans="1:20" ht="15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</row>
    <row r="618" spans="1:20" ht="15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</row>
    <row r="619" spans="1:20" ht="15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</row>
    <row r="620" spans="1:20" ht="15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</row>
    <row r="621" spans="1:20" ht="15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</row>
    <row r="622" spans="1:20" ht="15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</row>
    <row r="623" spans="1:20" ht="15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</row>
    <row r="624" spans="1:20" ht="15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</row>
    <row r="625" spans="1:20" ht="15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</row>
    <row r="626" spans="1:20" ht="15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</row>
    <row r="627" spans="1:20" ht="15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</row>
    <row r="628" spans="1:20" ht="15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</row>
    <row r="629" spans="1:20" ht="15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</row>
    <row r="630" spans="1:20" ht="15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</row>
    <row r="631" spans="1:20" ht="15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</row>
    <row r="632" spans="1:20" ht="15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</row>
    <row r="633" spans="1:20" ht="15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</row>
    <row r="634" spans="1:20" ht="15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</row>
    <row r="635" spans="1:20" ht="15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</row>
    <row r="636" spans="1:20" ht="15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</row>
    <row r="637" spans="1:20" ht="15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</row>
    <row r="638" spans="1:20" ht="15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</row>
    <row r="639" spans="1:20" ht="15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</row>
    <row r="640" spans="1:20" ht="15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</row>
    <row r="641" spans="1:20" ht="15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</row>
    <row r="642" spans="1:20" ht="15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</row>
    <row r="643" spans="1:20" ht="15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</row>
    <row r="644" spans="1:20" ht="15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</row>
    <row r="645" spans="1:20" ht="15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</row>
    <row r="646" spans="1:20" ht="15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</row>
    <row r="647" spans="1:20" ht="15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</row>
    <row r="648" spans="1:20" ht="15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</row>
    <row r="649" spans="1:20" ht="15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</row>
    <row r="650" spans="1:20" ht="15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</row>
    <row r="651" spans="1:20" ht="15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</row>
    <row r="652" spans="1:20" ht="15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</row>
    <row r="653" spans="1:20" ht="15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</row>
    <row r="654" spans="1:20" ht="15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</row>
    <row r="655" spans="1:20" ht="15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</row>
    <row r="656" spans="1:20" ht="15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</row>
    <row r="657" spans="1:20" ht="15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</row>
    <row r="658" spans="1:20" ht="15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</row>
    <row r="659" spans="1:20" ht="15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</row>
    <row r="660" spans="1:20" ht="15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</row>
    <row r="661" spans="1:20" ht="15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</row>
    <row r="662" spans="1:20" ht="15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</row>
    <row r="663" spans="1:20" ht="15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</row>
    <row r="664" spans="1:20" ht="15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</row>
    <row r="665" spans="1:20" ht="15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</row>
    <row r="666" spans="1:20" ht="15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</row>
    <row r="667" spans="1:20" ht="15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</row>
    <row r="668" spans="1:20" ht="15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</row>
    <row r="669" spans="1:20" ht="15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</row>
    <row r="670" spans="1:20" ht="15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</row>
    <row r="671" spans="1:20" ht="15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</row>
    <row r="672" spans="1:20" ht="15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</row>
    <row r="673" spans="1:20" ht="15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</row>
    <row r="674" spans="1:20" ht="15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</row>
    <row r="675" spans="1:20" ht="15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</row>
    <row r="676" spans="1:20" ht="15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</row>
    <row r="677" spans="1:20" ht="15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</row>
    <row r="678" spans="1:20" ht="15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</row>
    <row r="679" spans="1:20" ht="15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</row>
    <row r="680" spans="1:20" ht="15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</row>
    <row r="681" spans="1:20" ht="15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</row>
    <row r="682" spans="1:20" ht="15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</row>
    <row r="683" spans="1:20" ht="15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</row>
    <row r="684" spans="1:20" ht="15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</row>
    <row r="685" spans="1:20" ht="15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</row>
    <row r="686" spans="1:20" ht="15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</row>
    <row r="687" spans="1:20" ht="15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</row>
    <row r="688" spans="1:20" ht="15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</row>
    <row r="689" spans="1:20" ht="15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</row>
    <row r="690" spans="1:20" ht="15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</row>
    <row r="691" spans="1:20" ht="15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</row>
    <row r="692" spans="1:20" ht="15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</row>
    <row r="693" spans="1:20" ht="15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</row>
    <row r="694" spans="1:20" ht="15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</row>
    <row r="695" spans="1:20" ht="15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</row>
    <row r="696" spans="1:20" ht="15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</row>
    <row r="697" spans="1:20" ht="15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</row>
    <row r="698" spans="1:20" ht="15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</row>
    <row r="699" spans="1:20" ht="15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</row>
    <row r="700" spans="1:20" ht="15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</row>
    <row r="701" spans="1:20" ht="15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</row>
    <row r="702" spans="1:20" ht="15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</row>
    <row r="703" spans="1:20" ht="15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</row>
    <row r="704" spans="1:20" ht="15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</row>
    <row r="705" spans="1:20" ht="15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</row>
    <row r="706" spans="1:20" ht="15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</row>
    <row r="707" spans="1:20" ht="15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</row>
    <row r="708" spans="1:20" ht="15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</row>
    <row r="709" spans="1:20" ht="15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</row>
    <row r="710" spans="1:20" ht="15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</row>
    <row r="711" spans="1:20" ht="15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</row>
    <row r="712" spans="1:20" ht="15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</row>
    <row r="713" spans="1:20" ht="15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</row>
    <row r="714" spans="1:20" ht="15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</row>
    <row r="715" spans="1:20" ht="15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</row>
    <row r="716" spans="1:20" ht="15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</row>
    <row r="717" spans="1:20" ht="15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</row>
    <row r="718" spans="1:20" ht="15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</row>
    <row r="719" spans="1:20" ht="15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</row>
    <row r="720" spans="1:20" ht="15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</row>
    <row r="721" spans="1:20" ht="15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</row>
    <row r="722" spans="1:20" ht="15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</row>
    <row r="723" spans="1:20" ht="15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</row>
    <row r="724" spans="1:20" ht="15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</row>
    <row r="725" spans="1:20" ht="15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</row>
    <row r="726" spans="1:20" ht="15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</row>
    <row r="727" spans="1:20" ht="15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</row>
    <row r="728" spans="1:20" ht="15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</row>
    <row r="729" spans="1:20" ht="15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</row>
    <row r="730" spans="1:20" ht="15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</row>
    <row r="731" spans="1:20" ht="15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</row>
    <row r="732" spans="1:20" ht="15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</row>
    <row r="733" spans="1:20" ht="15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</row>
    <row r="734" spans="1:20" ht="15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</row>
    <row r="735" spans="1:20" ht="15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</row>
    <row r="736" spans="1:20" ht="15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</row>
    <row r="737" spans="1:20" ht="15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</row>
    <row r="738" spans="1:20" ht="15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</row>
    <row r="739" spans="1:20" ht="15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</row>
    <row r="740" spans="1:20" ht="15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</row>
    <row r="741" spans="1:20" ht="15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</row>
    <row r="742" spans="1:20" ht="15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</row>
    <row r="743" spans="1:20" ht="15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</row>
    <row r="744" spans="1:20" ht="15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</row>
    <row r="745" spans="1:20" ht="15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</row>
    <row r="746" spans="1:20" ht="15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</row>
    <row r="747" spans="1:20" ht="15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</row>
    <row r="748" spans="1:20" ht="15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</row>
    <row r="749" spans="1:20" ht="15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</row>
    <row r="750" spans="1:20" ht="15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</row>
    <row r="751" spans="1:20" ht="15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</row>
    <row r="752" spans="1:20" ht="15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</row>
    <row r="753" spans="1:20" ht="15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</row>
    <row r="754" spans="1:20" ht="15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</row>
    <row r="755" spans="1:20" ht="15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</row>
    <row r="756" spans="1:20" ht="15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</row>
    <row r="757" spans="1:20" ht="15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</row>
    <row r="758" spans="1:20" ht="15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</row>
    <row r="759" spans="1:20" ht="15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</row>
    <row r="760" spans="1:20" ht="15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</row>
    <row r="761" spans="1:20" ht="15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</row>
    <row r="762" spans="1:20" ht="15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</row>
    <row r="763" spans="1:20" ht="15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</row>
    <row r="764" spans="1:20" ht="15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</row>
    <row r="765" spans="1:20" ht="15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</row>
    <row r="766" spans="1:20" ht="15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</row>
    <row r="767" spans="1:20" ht="15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</row>
    <row r="768" spans="1:20" ht="15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</row>
    <row r="769" spans="1:20" ht="15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</row>
    <row r="770" spans="1:20" ht="15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</row>
    <row r="771" spans="1:20" ht="15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</row>
    <row r="772" spans="1:20" ht="15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</row>
    <row r="773" spans="1:20" ht="15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</row>
    <row r="774" spans="1:20" ht="15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</row>
    <row r="775" spans="1:20" ht="15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</row>
    <row r="776" spans="1:20" ht="15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</row>
    <row r="777" spans="1:20" ht="15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</row>
    <row r="778" spans="1:20" ht="15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</row>
    <row r="779" spans="1:20" ht="15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</row>
    <row r="780" spans="1:20" ht="15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</row>
    <row r="781" spans="1:20" ht="15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</row>
    <row r="782" spans="1:20" ht="15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</row>
    <row r="783" spans="1:20" ht="15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</row>
    <row r="784" spans="1:20" ht="15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</row>
    <row r="785" spans="1:20" ht="15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</row>
    <row r="786" spans="1:20" ht="15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</row>
    <row r="787" spans="1:20" ht="15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</row>
    <row r="788" spans="1:20" ht="15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</row>
    <row r="789" spans="1:20" ht="15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</row>
    <row r="790" spans="1:20" ht="15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</row>
    <row r="791" spans="1:20" ht="15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</row>
    <row r="792" spans="1:20" ht="15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</row>
    <row r="793" spans="1:20" ht="15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</row>
    <row r="794" spans="1:20" ht="15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</row>
    <row r="795" spans="1:20" ht="15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</row>
    <row r="796" spans="1:20" ht="15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</row>
    <row r="797" spans="1:20" ht="15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</row>
    <row r="798" spans="1:20" ht="15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</row>
    <row r="799" spans="1:20" ht="15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</row>
    <row r="800" spans="1:20" ht="15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</row>
    <row r="801" spans="1:20" ht="15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</row>
    <row r="802" spans="1:20" ht="15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</row>
    <row r="803" spans="1:20" ht="15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</row>
    <row r="804" spans="1:20" ht="15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</row>
    <row r="805" spans="1:20" ht="15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</row>
    <row r="806" spans="1:20" ht="15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</row>
    <row r="807" spans="1:20" ht="15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</row>
    <row r="808" spans="1:20" ht="15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</row>
    <row r="809" spans="1:20" ht="15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</row>
    <row r="810" spans="1:20" ht="15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</row>
    <row r="811" spans="1:20" ht="15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</row>
    <row r="812" spans="1:20" ht="15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</row>
    <row r="813" spans="1:20" ht="15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</row>
    <row r="814" spans="1:20" ht="15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</row>
    <row r="815" spans="1:20" ht="15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</row>
    <row r="816" spans="1:20" ht="15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</row>
    <row r="817" spans="1:20" ht="15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</row>
    <row r="818" spans="1:20" ht="15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</row>
    <row r="819" spans="1:20" ht="15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</row>
    <row r="820" spans="1:20" ht="15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</row>
    <row r="821" spans="1:20" ht="15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</row>
    <row r="822" spans="1:20" ht="15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</row>
    <row r="823" spans="1:20" ht="15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</row>
    <row r="824" spans="1:20" ht="15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</row>
    <row r="825" spans="1:20" ht="15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</row>
    <row r="826" spans="1:20" ht="15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</row>
    <row r="827" spans="1:20" ht="15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</row>
    <row r="828" spans="1:20" ht="15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</row>
    <row r="829" spans="1:20" ht="15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</row>
    <row r="830" spans="1:20" ht="15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</row>
    <row r="831" spans="1:20" ht="15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</row>
    <row r="832" spans="1:20" ht="15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</row>
    <row r="833" spans="1:20" ht="15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</row>
    <row r="834" spans="1:20" ht="15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</row>
    <row r="835" spans="1:20" ht="15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</row>
    <row r="836" spans="1:20" ht="15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</row>
    <row r="837" spans="1:20" ht="15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</row>
    <row r="838" spans="1:20" ht="15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</row>
    <row r="839" spans="1:20" ht="15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</row>
    <row r="840" spans="1:20" ht="15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</row>
    <row r="841" spans="1:20" ht="15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</row>
    <row r="842" spans="1:20" ht="15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</row>
    <row r="843" spans="1:20" ht="15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</row>
    <row r="844" spans="1:20" ht="15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</row>
    <row r="845" spans="1:20" ht="15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</row>
    <row r="846" spans="1:20" ht="15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</row>
    <row r="847" spans="1:20" ht="15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</row>
    <row r="848" spans="1:20" ht="15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</row>
    <row r="849" spans="1:20" ht="15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</row>
    <row r="850" spans="1:20" ht="15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</row>
    <row r="851" spans="1:20" ht="15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</row>
    <row r="852" spans="1:20" ht="15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</row>
    <row r="853" spans="1:20" ht="15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</row>
    <row r="854" spans="1:20" ht="15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</row>
    <row r="855" spans="1:20" ht="15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</row>
    <row r="856" spans="1:20" ht="15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</row>
    <row r="857" spans="1:20" ht="15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</row>
    <row r="858" spans="1:20" ht="15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</row>
    <row r="859" spans="1:20" ht="15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</row>
    <row r="860" spans="1:20" ht="15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</row>
    <row r="861" spans="1:20" ht="15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</row>
    <row r="862" spans="1:20" ht="15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</row>
    <row r="863" spans="1:20" ht="15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</row>
    <row r="864" spans="1:20" ht="15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</row>
    <row r="865" spans="1:20" ht="15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</row>
    <row r="866" spans="1:20" ht="15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</row>
    <row r="867" spans="1:20" ht="15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</row>
    <row r="868" spans="1:20" ht="15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</row>
    <row r="869" spans="1:20" ht="15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</row>
    <row r="870" spans="1:20" ht="15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</row>
    <row r="871" spans="1:20" ht="15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</row>
    <row r="872" spans="1:20" ht="15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</row>
    <row r="873" spans="1:20" ht="15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</row>
    <row r="874" spans="1:20" ht="15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</row>
    <row r="875" spans="1:20" ht="15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</row>
    <row r="876" spans="1:20" ht="15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</row>
    <row r="877" spans="1:20" ht="15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</row>
    <row r="878" spans="1:20" ht="15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</row>
    <row r="879" spans="1:20" ht="15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</row>
    <row r="880" spans="1:20" ht="15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</row>
    <row r="881" spans="1:20" ht="15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</row>
    <row r="882" spans="1:20" ht="15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</row>
    <row r="883" spans="1:20" ht="15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</row>
    <row r="884" spans="1:20" ht="15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</row>
  </sheetData>
  <mergeCells count="2">
    <mergeCell ref="A4:A54"/>
    <mergeCell ref="A55:A10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DOOR_FRAMES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 verma</dc:creator>
  <cp:lastModifiedBy>aman verma</cp:lastModifiedBy>
  <dcterms:created xsi:type="dcterms:W3CDTF">2026-03-17T15:54:39Z</dcterms:created>
  <dcterms:modified xsi:type="dcterms:W3CDTF">2026-03-17T15:55:06Z</dcterms:modified>
</cp:coreProperties>
</file>