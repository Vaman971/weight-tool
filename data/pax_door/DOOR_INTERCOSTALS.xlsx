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9253C166-4BFF-436A-99AC-770C027FB2AA}" xr6:coauthVersionLast="47" xr6:coauthVersionMax="47" xr10:uidLastSave="{00000000-0000-0000-0000-000000000000}"/>
  <bookViews>
    <workbookView xWindow="-108" yWindow="-108" windowWidth="23256" windowHeight="12456" xr2:uid="{07694FB8-0806-4B05-99C0-481C92955155}"/>
  </bookViews>
  <sheets>
    <sheet name="DOOR_INTERCOSTAL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Q4" i="1"/>
  <c r="S4" i="1"/>
  <c r="C4" i="1" s="1"/>
  <c r="D5" i="1"/>
  <c r="E5" i="1"/>
  <c r="F5" i="1"/>
  <c r="G5" i="1"/>
  <c r="H5" i="1"/>
  <c r="I5" i="1"/>
  <c r="M5" i="1"/>
  <c r="N5" i="1"/>
  <c r="O5" i="1"/>
  <c r="Q5" i="1"/>
  <c r="S5" i="1"/>
  <c r="C5" i="1" s="1"/>
  <c r="D6" i="1"/>
  <c r="E6" i="1"/>
  <c r="F6" i="1"/>
  <c r="G6" i="1"/>
  <c r="H6" i="1"/>
  <c r="I6" i="1"/>
  <c r="J6" i="1"/>
  <c r="K6" i="1"/>
  <c r="L6" i="1"/>
  <c r="M6" i="1"/>
  <c r="N6" i="1"/>
  <c r="O6" i="1"/>
  <c r="Q6" i="1"/>
  <c r="S6" i="1"/>
  <c r="C6" i="1" s="1"/>
  <c r="D7" i="1"/>
  <c r="E7" i="1"/>
  <c r="F7" i="1"/>
  <c r="G7" i="1"/>
  <c r="H7" i="1"/>
  <c r="I7" i="1"/>
  <c r="J7" i="1"/>
  <c r="K7" i="1"/>
  <c r="L7" i="1"/>
  <c r="M7" i="1"/>
  <c r="N7" i="1"/>
  <c r="O7" i="1"/>
  <c r="Q7" i="1"/>
  <c r="S7" i="1"/>
  <c r="C7" i="1" s="1"/>
  <c r="D8" i="1"/>
  <c r="E8" i="1"/>
  <c r="F8" i="1"/>
  <c r="G8" i="1"/>
  <c r="H8" i="1"/>
  <c r="I8" i="1"/>
  <c r="J8" i="1"/>
  <c r="K8" i="1"/>
  <c r="L8" i="1"/>
  <c r="M8" i="1"/>
  <c r="N8" i="1"/>
  <c r="O8" i="1"/>
  <c r="Q8" i="1"/>
  <c r="S8" i="1"/>
  <c r="C8" i="1" s="1"/>
  <c r="D9" i="1"/>
  <c r="E9" i="1"/>
  <c r="F9" i="1"/>
  <c r="G9" i="1"/>
  <c r="H9" i="1"/>
  <c r="I9" i="1"/>
  <c r="J9" i="1"/>
  <c r="K9" i="1"/>
  <c r="L9" i="1"/>
  <c r="M9" i="1"/>
  <c r="N9" i="1"/>
  <c r="O9" i="1"/>
  <c r="Q9" i="1"/>
  <c r="S9" i="1"/>
  <c r="C9" i="1" s="1"/>
  <c r="D10" i="1"/>
  <c r="E10" i="1"/>
  <c r="F10" i="1"/>
  <c r="G10" i="1"/>
  <c r="H10" i="1"/>
  <c r="I10" i="1"/>
  <c r="J10" i="1"/>
  <c r="K10" i="1"/>
  <c r="L10" i="1"/>
  <c r="M10" i="1"/>
  <c r="N10" i="1"/>
  <c r="O10" i="1"/>
  <c r="Q10" i="1"/>
  <c r="S10" i="1"/>
  <c r="C10" i="1" s="1"/>
  <c r="D11" i="1"/>
  <c r="E11" i="1"/>
  <c r="F11" i="1"/>
  <c r="G11" i="1"/>
  <c r="H11" i="1"/>
  <c r="I11" i="1"/>
  <c r="J11" i="1"/>
  <c r="K11" i="1"/>
  <c r="L11" i="1"/>
  <c r="M11" i="1"/>
  <c r="N11" i="1"/>
  <c r="O11" i="1"/>
  <c r="Q11" i="1"/>
  <c r="S11" i="1"/>
  <c r="C11" i="1" s="1"/>
  <c r="D12" i="1"/>
  <c r="E12" i="1"/>
  <c r="F12" i="1"/>
  <c r="G12" i="1"/>
  <c r="H12" i="1"/>
  <c r="I12" i="1"/>
  <c r="J12" i="1"/>
  <c r="K12" i="1"/>
  <c r="L12" i="1"/>
  <c r="M12" i="1"/>
  <c r="N12" i="1"/>
  <c r="O12" i="1"/>
  <c r="Q12" i="1"/>
  <c r="S12" i="1"/>
  <c r="C12" i="1" s="1"/>
  <c r="D13" i="1"/>
  <c r="E13" i="1"/>
  <c r="F13" i="1"/>
  <c r="G13" i="1"/>
  <c r="H13" i="1"/>
  <c r="I13" i="1"/>
  <c r="J13" i="1"/>
  <c r="K13" i="1"/>
  <c r="L13" i="1"/>
  <c r="M13" i="1"/>
  <c r="N13" i="1"/>
  <c r="O13" i="1"/>
  <c r="Q13" i="1"/>
  <c r="S13" i="1"/>
  <c r="C13" i="1" s="1"/>
  <c r="D14" i="1"/>
  <c r="E14" i="1"/>
  <c r="F14" i="1"/>
  <c r="G14" i="1"/>
  <c r="H14" i="1"/>
  <c r="I14" i="1"/>
  <c r="J14" i="1"/>
  <c r="K14" i="1"/>
  <c r="L14" i="1"/>
  <c r="M14" i="1"/>
  <c r="N14" i="1"/>
  <c r="O14" i="1"/>
  <c r="Q14" i="1"/>
  <c r="S14" i="1"/>
  <c r="C14" i="1" s="1"/>
  <c r="D15" i="1"/>
  <c r="E15" i="1"/>
  <c r="F15" i="1"/>
  <c r="G15" i="1"/>
  <c r="H15" i="1"/>
  <c r="I15" i="1"/>
  <c r="J15" i="1"/>
  <c r="K15" i="1"/>
  <c r="L15" i="1"/>
  <c r="M15" i="1"/>
  <c r="N15" i="1"/>
  <c r="O15" i="1"/>
  <c r="Q15" i="1"/>
  <c r="S15" i="1"/>
  <c r="C15" i="1" s="1"/>
  <c r="D16" i="1"/>
  <c r="E16" i="1"/>
  <c r="F16" i="1"/>
  <c r="G16" i="1"/>
  <c r="H16" i="1"/>
  <c r="I16" i="1"/>
  <c r="J16" i="1"/>
  <c r="K16" i="1"/>
  <c r="L16" i="1"/>
  <c r="M16" i="1"/>
  <c r="N16" i="1"/>
  <c r="O16" i="1"/>
  <c r="Q16" i="1"/>
  <c r="S16" i="1"/>
  <c r="C16" i="1" s="1"/>
  <c r="D17" i="1"/>
  <c r="E17" i="1"/>
  <c r="F17" i="1"/>
  <c r="G17" i="1"/>
  <c r="H17" i="1"/>
  <c r="I17" i="1"/>
  <c r="J17" i="1"/>
  <c r="K17" i="1"/>
  <c r="L17" i="1"/>
  <c r="M17" i="1"/>
  <c r="N17" i="1"/>
  <c r="O17" i="1"/>
  <c r="Q17" i="1"/>
  <c r="S17" i="1"/>
  <c r="C17" i="1" s="1"/>
  <c r="D18" i="1"/>
  <c r="E18" i="1"/>
  <c r="F18" i="1"/>
  <c r="G18" i="1"/>
  <c r="H18" i="1"/>
  <c r="I18" i="1"/>
  <c r="J18" i="1"/>
  <c r="K18" i="1"/>
  <c r="L18" i="1"/>
  <c r="M18" i="1"/>
  <c r="N18" i="1"/>
  <c r="O18" i="1"/>
  <c r="Q18" i="1"/>
  <c r="S18" i="1"/>
  <c r="C18" i="1" s="1"/>
  <c r="C19" i="1"/>
  <c r="D19" i="1"/>
  <c r="E19" i="1"/>
  <c r="F19" i="1"/>
  <c r="G19" i="1"/>
  <c r="H19" i="1"/>
  <c r="I19" i="1"/>
  <c r="M19" i="1"/>
  <c r="N19" i="1"/>
  <c r="O19" i="1"/>
  <c r="Q19" i="1"/>
  <c r="S19" i="1"/>
  <c r="D20" i="1"/>
  <c r="E20" i="1"/>
  <c r="F20" i="1"/>
  <c r="G20" i="1"/>
  <c r="H20" i="1"/>
  <c r="I20" i="1"/>
  <c r="J20" i="1"/>
  <c r="K20" i="1"/>
  <c r="L20" i="1"/>
  <c r="M20" i="1"/>
  <c r="N20" i="1"/>
  <c r="O20" i="1"/>
  <c r="Q20" i="1"/>
  <c r="S20" i="1"/>
  <c r="C20" i="1" s="1"/>
  <c r="C21" i="1"/>
  <c r="D21" i="1"/>
  <c r="E21" i="1"/>
  <c r="F21" i="1"/>
  <c r="G21" i="1"/>
  <c r="H21" i="1"/>
  <c r="I21" i="1"/>
  <c r="M21" i="1"/>
  <c r="N21" i="1"/>
  <c r="O21" i="1"/>
  <c r="Q21" i="1"/>
  <c r="S21" i="1"/>
  <c r="D22" i="1"/>
  <c r="E22" i="1"/>
  <c r="F22" i="1"/>
  <c r="G22" i="1"/>
  <c r="H22" i="1"/>
  <c r="I22" i="1"/>
  <c r="J22" i="1"/>
  <c r="K22" i="1"/>
  <c r="L22" i="1"/>
  <c r="M22" i="1"/>
  <c r="N22" i="1"/>
  <c r="O22" i="1"/>
  <c r="Q22" i="1"/>
  <c r="S22" i="1"/>
  <c r="C22" i="1" s="1"/>
  <c r="D23" i="1"/>
  <c r="E23" i="1"/>
  <c r="F23" i="1"/>
  <c r="G23" i="1"/>
  <c r="H23" i="1"/>
  <c r="I23" i="1"/>
  <c r="M23" i="1"/>
  <c r="N23" i="1"/>
  <c r="O23" i="1"/>
  <c r="Q23" i="1"/>
  <c r="S23" i="1"/>
  <c r="C23" i="1" s="1"/>
  <c r="D24" i="1"/>
  <c r="E24" i="1"/>
  <c r="F24" i="1"/>
  <c r="G24" i="1"/>
  <c r="H24" i="1"/>
  <c r="I24" i="1"/>
  <c r="M24" i="1"/>
  <c r="N24" i="1"/>
  <c r="O24" i="1"/>
  <c r="Q24" i="1"/>
  <c r="S24" i="1"/>
  <c r="C24" i="1" s="1"/>
  <c r="D25" i="1"/>
  <c r="E25" i="1"/>
  <c r="F25" i="1"/>
  <c r="G25" i="1"/>
  <c r="H25" i="1"/>
  <c r="I25" i="1"/>
  <c r="J25" i="1"/>
  <c r="K25" i="1"/>
  <c r="L25" i="1"/>
  <c r="M25" i="1"/>
  <c r="N25" i="1"/>
  <c r="O25" i="1"/>
  <c r="Q25" i="1"/>
  <c r="S25" i="1"/>
  <c r="C25" i="1" s="1"/>
  <c r="D26" i="1"/>
  <c r="E26" i="1"/>
  <c r="F26" i="1"/>
  <c r="G26" i="1"/>
  <c r="H26" i="1"/>
  <c r="I26" i="1"/>
  <c r="M26" i="1"/>
  <c r="N26" i="1"/>
  <c r="O26" i="1"/>
  <c r="Q26" i="1"/>
  <c r="S26" i="1"/>
  <c r="C26" i="1" s="1"/>
  <c r="D27" i="1"/>
  <c r="E27" i="1"/>
  <c r="F27" i="1"/>
  <c r="G27" i="1"/>
  <c r="H27" i="1"/>
  <c r="I27" i="1"/>
  <c r="J27" i="1"/>
  <c r="K27" i="1"/>
  <c r="L27" i="1"/>
  <c r="M27" i="1"/>
  <c r="N27" i="1"/>
  <c r="O27" i="1"/>
  <c r="Q27" i="1"/>
  <c r="S27" i="1"/>
  <c r="C27" i="1" s="1"/>
  <c r="C28" i="1"/>
  <c r="D28" i="1"/>
  <c r="E28" i="1"/>
  <c r="F28" i="1"/>
  <c r="G28" i="1"/>
  <c r="H28" i="1"/>
  <c r="I28" i="1"/>
  <c r="M28" i="1"/>
  <c r="N28" i="1"/>
  <c r="O28" i="1"/>
  <c r="Q28" i="1"/>
  <c r="S28" i="1"/>
  <c r="D29" i="1"/>
  <c r="E29" i="1"/>
  <c r="F29" i="1"/>
  <c r="G29" i="1"/>
  <c r="H29" i="1"/>
  <c r="I29" i="1"/>
  <c r="J29" i="1"/>
  <c r="K29" i="1"/>
  <c r="L29" i="1"/>
  <c r="M29" i="1"/>
  <c r="N29" i="1"/>
  <c r="O29" i="1"/>
  <c r="Q29" i="1"/>
  <c r="S29" i="1"/>
  <c r="C29" i="1" s="1"/>
  <c r="D30" i="1"/>
  <c r="E30" i="1"/>
  <c r="F30" i="1"/>
  <c r="G30" i="1"/>
  <c r="H30" i="1"/>
  <c r="I30" i="1"/>
  <c r="J30" i="1"/>
  <c r="K30" i="1"/>
  <c r="L30" i="1"/>
  <c r="M30" i="1"/>
  <c r="N30" i="1"/>
  <c r="O30" i="1"/>
  <c r="Q30" i="1"/>
  <c r="S30" i="1"/>
  <c r="C30" i="1" s="1"/>
  <c r="D31" i="1"/>
  <c r="E31" i="1"/>
  <c r="F31" i="1"/>
  <c r="G31" i="1"/>
  <c r="H31" i="1"/>
  <c r="I31" i="1"/>
  <c r="J31" i="1"/>
  <c r="K31" i="1"/>
  <c r="L31" i="1"/>
  <c r="M31" i="1"/>
  <c r="N31" i="1"/>
  <c r="O31" i="1"/>
  <c r="Q31" i="1"/>
  <c r="S31" i="1"/>
  <c r="C31" i="1" s="1"/>
  <c r="D32" i="1"/>
  <c r="E32" i="1"/>
  <c r="F32" i="1"/>
  <c r="G32" i="1"/>
  <c r="H32" i="1"/>
  <c r="I32" i="1"/>
  <c r="J32" i="1"/>
  <c r="K32" i="1"/>
  <c r="L32" i="1"/>
  <c r="M32" i="1"/>
  <c r="N32" i="1"/>
  <c r="O32" i="1"/>
  <c r="Q32" i="1"/>
  <c r="S32" i="1"/>
  <c r="C32" i="1" s="1"/>
  <c r="D33" i="1"/>
  <c r="E33" i="1"/>
  <c r="F33" i="1"/>
  <c r="G33" i="1"/>
  <c r="H33" i="1"/>
  <c r="I33" i="1"/>
  <c r="J33" i="1"/>
  <c r="K33" i="1"/>
  <c r="L33" i="1"/>
  <c r="M33" i="1"/>
  <c r="N33" i="1"/>
  <c r="O33" i="1"/>
  <c r="Q33" i="1"/>
  <c r="S33" i="1"/>
  <c r="C33" i="1" s="1"/>
  <c r="D34" i="1"/>
  <c r="E34" i="1"/>
  <c r="F34" i="1"/>
  <c r="G34" i="1"/>
  <c r="H34" i="1"/>
  <c r="I34" i="1"/>
  <c r="J34" i="1"/>
  <c r="K34" i="1"/>
  <c r="L34" i="1"/>
  <c r="M34" i="1"/>
  <c r="N34" i="1"/>
  <c r="O34" i="1"/>
  <c r="Q34" i="1"/>
  <c r="S34" i="1"/>
  <c r="C34" i="1" s="1"/>
  <c r="D35" i="1"/>
  <c r="E35" i="1"/>
  <c r="F35" i="1"/>
  <c r="G35" i="1"/>
  <c r="H35" i="1"/>
  <c r="I35" i="1"/>
  <c r="J35" i="1"/>
  <c r="K35" i="1"/>
  <c r="L35" i="1"/>
  <c r="M35" i="1"/>
  <c r="N35" i="1"/>
  <c r="O35" i="1"/>
  <c r="Q35" i="1"/>
  <c r="S35" i="1"/>
  <c r="C35" i="1" s="1"/>
  <c r="D36" i="1"/>
  <c r="E36" i="1"/>
  <c r="F36" i="1"/>
  <c r="G36" i="1"/>
  <c r="H36" i="1"/>
  <c r="I36" i="1"/>
  <c r="J36" i="1"/>
  <c r="K36" i="1"/>
  <c r="L36" i="1"/>
  <c r="M36" i="1"/>
  <c r="N36" i="1"/>
  <c r="O36" i="1"/>
  <c r="Q36" i="1"/>
  <c r="S36" i="1"/>
  <c r="C36" i="1" s="1"/>
  <c r="C37" i="1"/>
  <c r="D37" i="1"/>
  <c r="E37" i="1"/>
  <c r="F37" i="1"/>
  <c r="G37" i="1"/>
  <c r="H37" i="1"/>
  <c r="I37" i="1"/>
  <c r="M37" i="1"/>
  <c r="N37" i="1"/>
  <c r="O37" i="1"/>
  <c r="Q37" i="1"/>
  <c r="S37" i="1"/>
  <c r="C38" i="1"/>
  <c r="D38" i="1"/>
  <c r="E38" i="1"/>
  <c r="F38" i="1"/>
  <c r="G38" i="1"/>
  <c r="H38" i="1"/>
  <c r="I38" i="1"/>
  <c r="M38" i="1"/>
  <c r="N38" i="1"/>
  <c r="O38" i="1"/>
  <c r="Q38" i="1"/>
  <c r="S38" i="1"/>
  <c r="C39" i="1"/>
  <c r="D39" i="1"/>
  <c r="E39" i="1"/>
  <c r="F39" i="1"/>
  <c r="G39" i="1"/>
  <c r="H39" i="1"/>
  <c r="I39" i="1"/>
  <c r="M39" i="1"/>
  <c r="N39" i="1"/>
  <c r="O39" i="1"/>
  <c r="Q39" i="1"/>
  <c r="S39" i="1"/>
</calcChain>
</file>

<file path=xl/sharedStrings.xml><?xml version="1.0" encoding="utf-8"?>
<sst xmlns="http://schemas.openxmlformats.org/spreadsheetml/2006/main" count="66" uniqueCount="66">
  <si>
    <t>INTERCOSTAL_AFT_17</t>
  </si>
  <si>
    <t>INTERCOSTAL_AFT_16</t>
  </si>
  <si>
    <t>INTERCOSTAL_AFT_15</t>
  </si>
  <si>
    <t>INTERCOSTAL_AFT_14</t>
  </si>
  <si>
    <t>INTERCOSTAL_AFT_13</t>
  </si>
  <si>
    <t>INTERCOSTAL_AFT_12</t>
  </si>
  <si>
    <t>INTERCOSTAL_AFT_11</t>
  </si>
  <si>
    <t>INTERCOSTAL_AFT_10</t>
  </si>
  <si>
    <t>INTERCOSTAL_AFT_9</t>
  </si>
  <si>
    <t>INTERCOSTAL_AFT_8</t>
  </si>
  <si>
    <t>INTERCOSTAL_AFT_7</t>
  </si>
  <si>
    <t>INTERCOSTAL_AFT_6</t>
  </si>
  <si>
    <t>INTERCOSTAL_AFT_5</t>
  </si>
  <si>
    <t>INTERCOSTAL_AFT_4</t>
  </si>
  <si>
    <t>INTERCOSTAL_AFT_3</t>
  </si>
  <si>
    <t>INTERCOSTAL_AFT_2</t>
  </si>
  <si>
    <t>INTERCOSTAL_AFT_1</t>
  </si>
  <si>
    <t>INTERCOSTAL_AFT_0</t>
  </si>
  <si>
    <t>INTERCOSTALS_AFT_PAX_DOOR</t>
  </si>
  <si>
    <t>INTERCOSTAL_FWD_17</t>
  </si>
  <si>
    <t>INTERCOSTAL_FWD_16</t>
  </si>
  <si>
    <t>INTERCOSTAL_FWD_15</t>
  </si>
  <si>
    <t>INTERCOSTAL_FWD_14</t>
  </si>
  <si>
    <t>INTERCOSTAL_FWD_13</t>
  </si>
  <si>
    <t>INTERCOSTAL_FWD_12</t>
  </si>
  <si>
    <t>INTERCOSTAL_FWD_11</t>
  </si>
  <si>
    <t>INTERCOSTAL_FWD_10</t>
  </si>
  <si>
    <t>INTERCOSTAL_FWD_9</t>
  </si>
  <si>
    <t>INTERCOSTAL_FWD_8</t>
  </si>
  <si>
    <t>INTERCOSTAL_FWD_7</t>
  </si>
  <si>
    <t>INTERCOSTAL_FWD_6</t>
  </si>
  <si>
    <t>INTERCOSTAL_FWD_5</t>
  </si>
  <si>
    <t>INTERCOSTAL_FWD_4</t>
  </si>
  <si>
    <t>INTERCOSTAL_FWD_3</t>
  </si>
  <si>
    <t>INTERCOSTAL_FWD_2</t>
  </si>
  <si>
    <t>INTERCOSTAL_FWD_1</t>
  </si>
  <si>
    <t>INTERCOSTAL_FWD_0</t>
  </si>
  <si>
    <t>INTERCOSTALS_FWD_PAX_DOOR</t>
  </si>
  <si>
    <t>Volume (mm^3)</t>
  </si>
  <si>
    <t>Area (mm^2)</t>
  </si>
  <si>
    <t>T2</t>
  </si>
  <si>
    <t>Thickness</t>
  </si>
  <si>
    <t>Z4</t>
  </si>
  <si>
    <t>Y4</t>
  </si>
  <si>
    <t>X4</t>
  </si>
  <si>
    <t>Z3</t>
  </si>
  <si>
    <t>Y3</t>
  </si>
  <si>
    <t>X3</t>
  </si>
  <si>
    <t>Z2</t>
  </si>
  <si>
    <t>Y2</t>
  </si>
  <si>
    <t>X2</t>
  </si>
  <si>
    <t>Z1</t>
  </si>
  <si>
    <t>Y1</t>
  </si>
  <si>
    <t>X1</t>
  </si>
  <si>
    <t>Mass</t>
  </si>
  <si>
    <t>Title</t>
  </si>
  <si>
    <t>Dimensions = mm</t>
  </si>
  <si>
    <t>= to correct non-planarity of MGY coordinates measured directly from CATIA</t>
  </si>
  <si>
    <t>manual</t>
  </si>
  <si>
    <t>SYM</t>
  </si>
  <si>
    <t>Mass = grammes</t>
  </si>
  <si>
    <t>Units are:</t>
  </si>
  <si>
    <t>g/cm^3</t>
  </si>
  <si>
    <t>Density =</t>
  </si>
  <si>
    <t>(Purpose = Define PAX DOOR INTERCOSTALS)</t>
  </si>
  <si>
    <t>DOOR_INTERCOSTAL_PRIMITIVES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</si>
</sst>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FF0000"/>
      <name val="Arial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  <scheme val="minor"/>
    </font>
    <font>
      <i/>
      <sz val="12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2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1" fontId="1" fillId="0" borderId="4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 applyAlignment="1">
      <alignment horizontal="left"/>
    </xf>
    <xf numFmtId="0" fontId="5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165" fontId="8" fillId="0" borderId="0" xfId="0" applyNumberFormat="1" applyFont="1"/>
    <xf numFmtId="165" fontId="8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GEOMETRY_PROCESSING.xlsx" TargetMode="External"/><Relationship Id="rId1" Type="http://schemas.openxmlformats.org/officeDocument/2006/relationships/externalLinkPath" Target="GEOMETRY_PROCESS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6">
          <cell r="O6">
            <v>38624.400000000001</v>
          </cell>
          <cell r="P6">
            <v>1037.8</v>
          </cell>
          <cell r="Q6">
            <v>1658.1</v>
          </cell>
          <cell r="T6">
            <v>39604.400000000001</v>
          </cell>
          <cell r="U6">
            <v>993.2</v>
          </cell>
          <cell r="V6">
            <v>1653.7</v>
          </cell>
          <cell r="AD6">
            <v>37947.599999999999</v>
          </cell>
          <cell r="AE6">
            <v>1045.8</v>
          </cell>
          <cell r="AF6">
            <v>1641.7</v>
          </cell>
          <cell r="AI6">
            <v>40030.400000000001</v>
          </cell>
          <cell r="AJ6">
            <v>946.7</v>
          </cell>
          <cell r="AK6">
            <v>1627.5</v>
          </cell>
        </row>
        <row r="7">
          <cell r="O7">
            <v>38624.400000000001</v>
          </cell>
          <cell r="P7">
            <v>1220.8</v>
          </cell>
          <cell r="Q7">
            <v>1488.4</v>
          </cell>
          <cell r="T7">
            <v>39604.400000000001</v>
          </cell>
          <cell r="U7">
            <v>1126.3</v>
          </cell>
          <cell r="V7">
            <v>1519.2</v>
          </cell>
          <cell r="AD7">
            <v>37947.599999999999</v>
          </cell>
          <cell r="AE7">
            <v>1181.5999999999999</v>
          </cell>
          <cell r="AF7">
            <v>1543.5</v>
          </cell>
          <cell r="AI7">
            <v>40030.400000000001</v>
          </cell>
          <cell r="AJ7">
            <v>1059.2</v>
          </cell>
          <cell r="AK7">
            <v>1543.5</v>
          </cell>
        </row>
        <row r="8">
          <cell r="O8">
            <v>38624.400000000001</v>
          </cell>
          <cell r="P8">
            <v>1278.7</v>
          </cell>
          <cell r="Q8">
            <v>1434.6</v>
          </cell>
          <cell r="T8">
            <v>39604.400000000001</v>
          </cell>
          <cell r="U8">
            <v>1216.7</v>
          </cell>
          <cell r="V8">
            <v>1434.6</v>
          </cell>
          <cell r="AD8">
            <v>37947.599999999999</v>
          </cell>
          <cell r="AE8">
            <v>1301.9000000000001</v>
          </cell>
          <cell r="AF8">
            <v>1429.6</v>
          </cell>
          <cell r="AI8">
            <v>40030.400000000001</v>
          </cell>
          <cell r="AJ8">
            <v>1171.7</v>
          </cell>
          <cell r="AK8">
            <v>1429.6</v>
          </cell>
        </row>
        <row r="9">
          <cell r="O9">
            <v>38624.400000000001</v>
          </cell>
          <cell r="P9">
            <v>1402.9</v>
          </cell>
          <cell r="Q9">
            <v>1300.5999999999999</v>
          </cell>
          <cell r="T9">
            <v>39604.400000000001</v>
          </cell>
          <cell r="U9">
            <v>1313.7</v>
          </cell>
          <cell r="V9">
            <v>1327.2</v>
          </cell>
          <cell r="AD9">
            <v>37947.599999999999</v>
          </cell>
          <cell r="AE9">
            <v>1422.2</v>
          </cell>
          <cell r="AF9">
            <v>1315.6</v>
          </cell>
          <cell r="AI9">
            <v>40030.400000000001</v>
          </cell>
          <cell r="AJ9">
            <v>1284.3</v>
          </cell>
          <cell r="AK9">
            <v>1315.6</v>
          </cell>
        </row>
        <row r="10">
          <cell r="O10">
            <v>38624.400000000001</v>
          </cell>
          <cell r="P10">
            <v>1489.7</v>
          </cell>
          <cell r="Q10">
            <v>1187.3</v>
          </cell>
          <cell r="T10">
            <v>39604.400000000001</v>
          </cell>
          <cell r="U10">
            <v>1417.6</v>
          </cell>
          <cell r="V10">
            <v>1187.3</v>
          </cell>
          <cell r="AD10">
            <v>37947.599999999999</v>
          </cell>
          <cell r="AE10">
            <v>1512.8</v>
          </cell>
          <cell r="AF10">
            <v>1193.7</v>
          </cell>
          <cell r="AI10">
            <v>40030.400000000001</v>
          </cell>
          <cell r="AJ10">
            <v>1363.8</v>
          </cell>
          <cell r="AK10">
            <v>1193.7</v>
          </cell>
        </row>
        <row r="11">
          <cell r="O11">
            <v>38624.400000000001</v>
          </cell>
          <cell r="P11">
            <v>1571.7</v>
          </cell>
          <cell r="Q11">
            <v>1061.0999999999999</v>
          </cell>
          <cell r="T11">
            <v>39604.400000000001</v>
          </cell>
          <cell r="U11">
            <v>1482.4</v>
          </cell>
          <cell r="V11">
            <v>1079.5</v>
          </cell>
          <cell r="AD11">
            <v>37947.599999999999</v>
          </cell>
          <cell r="AE11">
            <v>1603.4</v>
          </cell>
          <cell r="AF11">
            <v>1071.7</v>
          </cell>
          <cell r="AI11">
            <v>40030.400000000001</v>
          </cell>
          <cell r="AJ11">
            <v>1443.3</v>
          </cell>
          <cell r="AK11">
            <v>1071.7</v>
          </cell>
        </row>
        <row r="12">
          <cell r="O12">
            <v>38624.400000000001</v>
          </cell>
          <cell r="P12">
            <v>1632.6</v>
          </cell>
          <cell r="Q12">
            <v>950.7</v>
          </cell>
          <cell r="T12">
            <v>39604.400000000001</v>
          </cell>
          <cell r="U12">
            <v>1545.2</v>
          </cell>
          <cell r="V12">
            <v>950.7</v>
          </cell>
          <cell r="AD12">
            <v>37947.599999999999</v>
          </cell>
          <cell r="AE12">
            <v>1669.8</v>
          </cell>
          <cell r="AF12">
            <v>948.2</v>
          </cell>
          <cell r="AI12">
            <v>40030.400000000001</v>
          </cell>
          <cell r="AJ12">
            <v>1488.6</v>
          </cell>
          <cell r="AK12">
            <v>948.2</v>
          </cell>
        </row>
        <row r="13">
          <cell r="O13">
            <v>38624.400000000001</v>
          </cell>
          <cell r="P13">
            <v>1692.2</v>
          </cell>
          <cell r="Q13">
            <v>820.3</v>
          </cell>
          <cell r="T13">
            <v>39604.400000000001</v>
          </cell>
          <cell r="U13">
            <v>1590.1</v>
          </cell>
          <cell r="V13">
            <v>827.2</v>
          </cell>
          <cell r="AD13">
            <v>37947.599999999999</v>
          </cell>
          <cell r="AE13">
            <v>1736.2</v>
          </cell>
          <cell r="AF13">
            <v>824.7</v>
          </cell>
          <cell r="AI13">
            <v>40030.400000000001</v>
          </cell>
          <cell r="AJ13">
            <v>1533.9</v>
          </cell>
          <cell r="AK13">
            <v>824.7</v>
          </cell>
        </row>
        <row r="14">
          <cell r="O14">
            <v>38624.400000000001</v>
          </cell>
          <cell r="P14">
            <v>1744.9</v>
          </cell>
          <cell r="Q14">
            <v>672.3</v>
          </cell>
          <cell r="T14">
            <v>39604.400000000001</v>
          </cell>
          <cell r="U14">
            <v>1628.8</v>
          </cell>
          <cell r="V14">
            <v>672.3</v>
          </cell>
          <cell r="AD14">
            <v>37947.599999999999</v>
          </cell>
          <cell r="AE14">
            <v>1788.9</v>
          </cell>
          <cell r="AF14">
            <v>670</v>
          </cell>
          <cell r="AI14">
            <v>40030.400000000001</v>
          </cell>
          <cell r="AJ14">
            <v>1556.1</v>
          </cell>
          <cell r="AK14">
            <v>670</v>
          </cell>
        </row>
        <row r="15">
          <cell r="O15">
            <v>38624.400000000001</v>
          </cell>
          <cell r="P15">
            <v>1784.1</v>
          </cell>
          <cell r="Q15">
            <v>515</v>
          </cell>
          <cell r="T15">
            <v>39604.400000000001</v>
          </cell>
          <cell r="U15">
            <v>1652</v>
          </cell>
          <cell r="V15">
            <v>513.1</v>
          </cell>
          <cell r="AD15">
            <v>37947.599999999999</v>
          </cell>
          <cell r="AE15">
            <v>1841.6</v>
          </cell>
          <cell r="AF15">
            <v>515.20000000000005</v>
          </cell>
          <cell r="AI15">
            <v>40030.400000000001</v>
          </cell>
          <cell r="AJ15">
            <v>1578.3</v>
          </cell>
          <cell r="AK15">
            <v>515.20000000000005</v>
          </cell>
        </row>
        <row r="16">
          <cell r="O16">
            <v>38624.400000000001</v>
          </cell>
          <cell r="P16">
            <v>1808.6</v>
          </cell>
          <cell r="Q16">
            <v>354.5</v>
          </cell>
          <cell r="T16">
            <v>39604.400000000001</v>
          </cell>
          <cell r="U16">
            <v>1661.7</v>
          </cell>
          <cell r="V16">
            <v>354.5</v>
          </cell>
          <cell r="AD16">
            <v>37947.599999999999</v>
          </cell>
          <cell r="AE16">
            <v>1864.1</v>
          </cell>
          <cell r="AF16">
            <v>353.3</v>
          </cell>
          <cell r="AI16">
            <v>40030.400000000001</v>
          </cell>
          <cell r="AJ16">
            <v>1580.3</v>
          </cell>
          <cell r="AK16">
            <v>353.3</v>
          </cell>
        </row>
        <row r="17">
          <cell r="O17">
            <v>38624.400000000001</v>
          </cell>
          <cell r="P17">
            <v>1817.1</v>
          </cell>
          <cell r="Q17">
            <v>190.7</v>
          </cell>
          <cell r="T17">
            <v>39604.400000000001</v>
          </cell>
          <cell r="U17">
            <v>1662.3</v>
          </cell>
          <cell r="V17">
            <v>192</v>
          </cell>
          <cell r="AD17">
            <v>37947.599999999999</v>
          </cell>
          <cell r="AE17">
            <v>1886.7</v>
          </cell>
          <cell r="AF17">
            <v>191.3</v>
          </cell>
          <cell r="AI17">
            <v>40030.400000000001</v>
          </cell>
          <cell r="AJ17">
            <v>1582.3</v>
          </cell>
          <cell r="AK17">
            <v>191.3</v>
          </cell>
        </row>
        <row r="18">
          <cell r="O18">
            <v>38624.400000000001</v>
          </cell>
          <cell r="P18">
            <v>1809.7</v>
          </cell>
          <cell r="Q18">
            <v>50.8</v>
          </cell>
          <cell r="T18">
            <v>39604.400000000001</v>
          </cell>
          <cell r="U18">
            <v>1652.9</v>
          </cell>
          <cell r="V18">
            <v>50.8</v>
          </cell>
          <cell r="AD18">
            <v>37947.599999999999</v>
          </cell>
          <cell r="AE18">
            <v>1879.6</v>
          </cell>
          <cell r="AF18">
            <v>50.7</v>
          </cell>
          <cell r="AI18">
            <v>40030.400000000001</v>
          </cell>
          <cell r="AJ18">
            <v>1564.2</v>
          </cell>
          <cell r="AK18">
            <v>50.7</v>
          </cell>
        </row>
        <row r="19">
          <cell r="O19">
            <v>38624.400000000001</v>
          </cell>
          <cell r="P19">
            <v>1787.4</v>
          </cell>
          <cell r="Q19">
            <v>-98.3</v>
          </cell>
          <cell r="T19">
            <v>39604.400000000001</v>
          </cell>
          <cell r="U19">
            <v>1627.9</v>
          </cell>
          <cell r="V19">
            <v>-89.9</v>
          </cell>
          <cell r="AD19">
            <v>37947.599999999999</v>
          </cell>
          <cell r="AE19">
            <v>1872.5</v>
          </cell>
          <cell r="AF19">
            <v>-90</v>
          </cell>
          <cell r="AI19">
            <v>40030.400000000001</v>
          </cell>
          <cell r="AJ19">
            <v>1545.9</v>
          </cell>
          <cell r="AK19">
            <v>-90</v>
          </cell>
        </row>
        <row r="20">
          <cell r="O20">
            <v>38624.400000000001</v>
          </cell>
          <cell r="P20">
            <v>1754.7</v>
          </cell>
          <cell r="Q20">
            <v>-230.5</v>
          </cell>
          <cell r="T20">
            <v>39604.400000000001</v>
          </cell>
          <cell r="U20">
            <v>1584.6</v>
          </cell>
          <cell r="V20">
            <v>-230.5</v>
          </cell>
          <cell r="AD20">
            <v>37947.599999999999</v>
          </cell>
          <cell r="AE20">
            <v>1837.4</v>
          </cell>
          <cell r="AF20">
            <v>-230.1</v>
          </cell>
          <cell r="AI20">
            <v>40030.400000000001</v>
          </cell>
          <cell r="AJ20">
            <v>1489.1</v>
          </cell>
          <cell r="AK20">
            <v>-230.1</v>
          </cell>
        </row>
        <row r="21">
          <cell r="O21">
            <v>38624.400000000001</v>
          </cell>
          <cell r="P21">
            <v>1705</v>
          </cell>
          <cell r="Q21">
            <v>-379.1</v>
          </cell>
          <cell r="T21">
            <v>39604.400000000001</v>
          </cell>
          <cell r="U21">
            <v>1531</v>
          </cell>
          <cell r="V21">
            <v>-357.2</v>
          </cell>
          <cell r="AD21">
            <v>37947.599999999999</v>
          </cell>
          <cell r="AE21">
            <v>1802.3</v>
          </cell>
          <cell r="AF21">
            <v>-370.3</v>
          </cell>
          <cell r="AI21">
            <v>40030.400000000001</v>
          </cell>
          <cell r="AJ21">
            <v>1432.3</v>
          </cell>
          <cell r="AK21">
            <v>-370.3</v>
          </cell>
        </row>
        <row r="22">
          <cell r="O22">
            <v>38624.400000000001</v>
          </cell>
          <cell r="P22">
            <v>1648.2</v>
          </cell>
          <cell r="Q22">
            <v>-508.5</v>
          </cell>
          <cell r="T22">
            <v>39604.400000000001</v>
          </cell>
          <cell r="U22">
            <v>1452.8</v>
          </cell>
          <cell r="V22">
            <v>-508.5</v>
          </cell>
          <cell r="AD22">
            <v>37947.599999999999</v>
          </cell>
          <cell r="AE22">
            <v>1740.5</v>
          </cell>
          <cell r="AF22">
            <v>-510.9</v>
          </cell>
          <cell r="AI22">
            <v>40030.400000000001</v>
          </cell>
          <cell r="AJ22">
            <v>1358.1</v>
          </cell>
          <cell r="AK22">
            <v>-508.5</v>
          </cell>
        </row>
        <row r="23">
          <cell r="O23">
            <v>38624.400000000001</v>
          </cell>
          <cell r="P23">
            <v>1594.2</v>
          </cell>
          <cell r="Q23">
            <v>-631.4</v>
          </cell>
          <cell r="T23">
            <v>39604.400000000001</v>
          </cell>
          <cell r="U23">
            <v>1391.2</v>
          </cell>
          <cell r="V23">
            <v>-621.70000000000005</v>
          </cell>
          <cell r="AD23">
            <v>37947.599999999999</v>
          </cell>
          <cell r="AE23">
            <v>1690</v>
          </cell>
          <cell r="AF23">
            <v>-632.4</v>
          </cell>
          <cell r="AJ23">
            <v>1291.5</v>
          </cell>
          <cell r="AK23">
            <v>-612.5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METRY_PROCESSING"/>
    </sheetNames>
    <sheetDataSet>
      <sheetData sheetId="0">
        <row r="6">
          <cell r="F6">
            <v>971.48179193981059</v>
          </cell>
          <cell r="G6">
            <v>1552.1429554975912</v>
          </cell>
          <cell r="M6">
            <v>928.8413430663303</v>
          </cell>
          <cell r="N6">
            <v>1546.5414106210137</v>
          </cell>
          <cell r="T6">
            <v>1002.8183188604747</v>
          </cell>
          <cell r="U6">
            <v>1574.2272270732842</v>
          </cell>
          <cell r="AA6">
            <v>906.47515127221129</v>
          </cell>
          <cell r="AB6">
            <v>1558.3482715702166</v>
          </cell>
        </row>
        <row r="7">
          <cell r="F7">
            <v>1141.5279380268596</v>
          </cell>
          <cell r="G7">
            <v>1391.7514604842547</v>
          </cell>
          <cell r="M7">
            <v>1051.8553061747486</v>
          </cell>
          <cell r="N7">
            <v>1418.7859195069507</v>
          </cell>
        </row>
        <row r="8">
          <cell r="F8">
            <v>1195.5274236060093</v>
          </cell>
          <cell r="G8">
            <v>1341.2869648120595</v>
          </cell>
          <cell r="M8">
            <v>1135.8485439414455</v>
          </cell>
          <cell r="N8">
            <v>1339.2687771335559</v>
          </cell>
          <cell r="T8">
            <v>1248.0349188631517</v>
          </cell>
          <cell r="U8">
            <v>1370.4514325268926</v>
          </cell>
        </row>
        <row r="9">
          <cell r="F9">
            <v>1311.2326552809975</v>
          </cell>
          <cell r="G9">
            <v>1215.6170728194918</v>
          </cell>
          <cell r="M9">
            <v>1225.7646331188776</v>
          </cell>
          <cell r="N9">
            <v>1238.3609812555183</v>
          </cell>
          <cell r="T9">
            <v>1363.4733827987475</v>
          </cell>
          <cell r="U9">
            <v>1261.2751950569766</v>
          </cell>
          <cell r="AA9">
            <v>1228.4165315296545</v>
          </cell>
          <cell r="AB9">
            <v>1258.3545813909625</v>
          </cell>
        </row>
        <row r="10">
          <cell r="F10">
            <v>1391.9488026884201</v>
          </cell>
          <cell r="G10">
            <v>1109.3916986184875</v>
          </cell>
          <cell r="M10">
            <v>1321.7710007211492</v>
          </cell>
          <cell r="N10">
            <v>1107.0391571361602</v>
          </cell>
          <cell r="T10">
            <v>1449.9969476519202</v>
          </cell>
          <cell r="U10">
            <v>1144.1442070413123</v>
          </cell>
        </row>
        <row r="11">
          <cell r="F11">
            <v>1468.1001058371221</v>
          </cell>
          <cell r="G11">
            <v>991.15672348652413</v>
          </cell>
          <cell r="M11">
            <v>1381.3531075159215</v>
          </cell>
          <cell r="N11">
            <v>1005.9165404502407</v>
          </cell>
          <cell r="T11">
            <v>1536.8889922139783</v>
          </cell>
          <cell r="U11">
            <v>1027.2445634001001</v>
          </cell>
          <cell r="AA11">
            <v>1379.0705725334856</v>
          </cell>
          <cell r="AB11">
            <v>1024.0074361422689</v>
          </cell>
        </row>
        <row r="12">
          <cell r="F12">
            <v>1524.5801532266989</v>
          </cell>
          <cell r="G12">
            <v>887.79759382128066</v>
          </cell>
          <cell r="M12">
            <v>1438.7367967424452</v>
          </cell>
          <cell r="N12">
            <v>885.19743247672966</v>
          </cell>
          <cell r="T12">
            <v>1600.2336356269288</v>
          </cell>
          <cell r="U12">
            <v>908.696570428467</v>
          </cell>
        </row>
        <row r="13">
          <cell r="F13">
            <v>1579.7190460946467</v>
          </cell>
          <cell r="G13">
            <v>765.77445544937871</v>
          </cell>
          <cell r="M13">
            <v>1479.2078353622628</v>
          </cell>
          <cell r="N13">
            <v>769.51180517682155</v>
          </cell>
          <cell r="T13">
            <v>1663.9378803041918</v>
          </cell>
          <cell r="U13">
            <v>790.37528504024135</v>
          </cell>
          <cell r="AA13">
            <v>1463.4384307217808</v>
          </cell>
          <cell r="AB13">
            <v>786.81639860242024</v>
          </cell>
        </row>
        <row r="14">
          <cell r="F14">
            <v>1628.2583517479252</v>
          </cell>
          <cell r="G14">
            <v>627.35863939488229</v>
          </cell>
          <cell r="M14">
            <v>1513.2556805919448</v>
          </cell>
          <cell r="N14">
            <v>624.60817415395661</v>
          </cell>
          <cell r="T14">
            <v>1713.9821409594608</v>
          </cell>
          <cell r="U14">
            <v>641.94087676384299</v>
          </cell>
          <cell r="AA14">
            <v>1482.6215015781304</v>
          </cell>
          <cell r="AB14">
            <v>638.36283404495043</v>
          </cell>
        </row>
        <row r="15">
          <cell r="F15">
            <v>1664.0034307042376</v>
          </cell>
          <cell r="G15">
            <v>480.33281027559133</v>
          </cell>
          <cell r="M15">
            <v>1532.6253797989684</v>
          </cell>
          <cell r="N15">
            <v>476.02305228501859</v>
          </cell>
          <cell r="T15">
            <v>1764.5580142014217</v>
          </cell>
          <cell r="U15">
            <v>493.64698572793901</v>
          </cell>
          <cell r="AA15">
            <v>1502.2492425069481</v>
          </cell>
          <cell r="AB15">
            <v>490.37496657136137</v>
          </cell>
        </row>
        <row r="16">
          <cell r="F16">
            <v>1685.934149385776</v>
          </cell>
          <cell r="G16">
            <v>330.45651661907419</v>
          </cell>
          <cell r="M16">
            <v>1539.4509554931237</v>
          </cell>
          <cell r="N16">
            <v>328.41990956388781</v>
          </cell>
          <cell r="T16">
            <v>1785.4992553023087</v>
          </cell>
          <cell r="U16">
            <v>338.4029219989838</v>
          </cell>
          <cell r="AA16">
            <v>1502.2273017098478</v>
          </cell>
          <cell r="AB16">
            <v>335.84566581920473</v>
          </cell>
        </row>
        <row r="17">
          <cell r="F17">
            <v>1692.782738277491</v>
          </cell>
          <cell r="G17">
            <v>177.6532211708313</v>
          </cell>
          <cell r="M17">
            <v>1538.1255523483728</v>
          </cell>
          <cell r="N17">
            <v>177.65752634956843</v>
          </cell>
          <cell r="T17">
            <v>1807.1080855889218</v>
          </cell>
          <cell r="U17">
            <v>183.22985995291288</v>
          </cell>
          <cell r="AA17">
            <v>1502.8783395341814</v>
          </cell>
          <cell r="AB17">
            <v>181.69792476324901</v>
          </cell>
        </row>
        <row r="18">
          <cell r="F18">
            <v>1684.7492195570326</v>
          </cell>
          <cell r="G18">
            <v>47.292512766479113</v>
          </cell>
          <cell r="M18">
            <v>1527.9589938513384</v>
          </cell>
          <cell r="N18">
            <v>46.960080396665241</v>
          </cell>
          <cell r="T18">
            <v>1799.6290876158471</v>
          </cell>
          <cell r="U18">
            <v>48.542878666803276</v>
          </cell>
          <cell r="AA18">
            <v>1484.2419903325358</v>
          </cell>
          <cell r="AB18">
            <v>48.108342225968272</v>
          </cell>
        </row>
        <row r="19">
          <cell r="F19">
            <v>1662.5886078409465</v>
          </cell>
          <cell r="G19">
            <v>-91.43586223048284</v>
          </cell>
          <cell r="M19">
            <v>1503.090174364565</v>
          </cell>
          <cell r="N19">
            <v>-83.007436989602795</v>
          </cell>
          <cell r="T19">
            <v>1792.5922464553307</v>
          </cell>
          <cell r="U19">
            <v>-86.159306905730176</v>
          </cell>
          <cell r="AA19">
            <v>1466.0352321430455</v>
          </cell>
          <cell r="AB19">
            <v>-85.350391935360676</v>
          </cell>
        </row>
        <row r="20">
          <cell r="F20">
            <v>1630.7647300423334</v>
          </cell>
          <cell r="G20">
            <v>-214.21967873411859</v>
          </cell>
          <cell r="M20">
            <v>1460.9018366119258</v>
          </cell>
          <cell r="N20">
            <v>-212.50654634548081</v>
          </cell>
          <cell r="T20">
            <v>1758.0200317358951</v>
          </cell>
          <cell r="U20">
            <v>-220.15914297508951</v>
          </cell>
          <cell r="AA20">
            <v>1410.0383222261371</v>
          </cell>
          <cell r="AB20">
            <v>-217.88316294690361</v>
          </cell>
        </row>
        <row r="21">
          <cell r="F21">
            <v>1582.9798177515424</v>
          </cell>
          <cell r="G21">
            <v>-351.96929554815819</v>
          </cell>
          <cell r="M21">
            <v>1409.2692623232501</v>
          </cell>
          <cell r="N21">
            <v>-328.7988115622893</v>
          </cell>
        </row>
        <row r="22">
          <cell r="F22">
            <v>1528.7553922730899</v>
          </cell>
          <cell r="G22">
            <v>-471.6491426834524</v>
          </cell>
          <cell r="M22">
            <v>1334.8182118947632</v>
          </cell>
          <cell r="N22">
            <v>-467.20474996454232</v>
          </cell>
          <cell r="T22">
            <v>1663.7386916911394</v>
          </cell>
          <cell r="U22">
            <v>-488.36776649526178</v>
          </cell>
        </row>
        <row r="23">
          <cell r="F23">
            <v>1477.983219010149</v>
          </cell>
          <cell r="G23">
            <v>-585.37109803224689</v>
          </cell>
          <cell r="M23">
            <v>1277.0769666860122</v>
          </cell>
          <cell r="N23">
            <v>-570.70065424719212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11C1-3C5C-4139-BBDD-7C41911F816E}">
  <sheetPr>
    <outlinePr summaryBelow="0" summaryRight="0"/>
  </sheetPr>
  <dimension ref="A1:T791"/>
  <sheetViews>
    <sheetView tabSelected="1" workbookViewId="0">
      <pane ySplit="3" topLeftCell="A4" activePane="bottomLeft" state="frozen"/>
      <selection pane="bottomLeft" activeCell="C20" sqref="C20"/>
    </sheetView>
  </sheetViews>
  <sheetFormatPr defaultColWidth="12.6640625" defaultRowHeight="15.75" customHeight="1" x14ac:dyDescent="0.25"/>
  <cols>
    <col min="1" max="1" width="25.77734375" customWidth="1"/>
    <col min="2" max="2" width="35.33203125" customWidth="1"/>
    <col min="10" max="12" width="14.77734375" customWidth="1"/>
    <col min="13" max="13" width="13.44140625" customWidth="1"/>
    <col min="18" max="19" width="15.21875" customWidth="1"/>
  </cols>
  <sheetData>
    <row r="1" spans="1:20" ht="15.75" customHeight="1" x14ac:dyDescent="0.3">
      <c r="A1" s="1"/>
      <c r="B1" s="29" t="s">
        <v>65</v>
      </c>
      <c r="C1" s="28" t="s">
        <v>64</v>
      </c>
      <c r="D1" s="27"/>
      <c r="E1" s="27"/>
      <c r="F1" s="27"/>
      <c r="G1" s="25" t="s">
        <v>63</v>
      </c>
      <c r="H1" s="26">
        <v>2.83</v>
      </c>
      <c r="I1" s="25" t="s">
        <v>62</v>
      </c>
      <c r="J1" s="24" t="s">
        <v>61</v>
      </c>
      <c r="K1" s="23" t="s">
        <v>60</v>
      </c>
      <c r="L1" s="17"/>
      <c r="M1" s="22" t="s">
        <v>59</v>
      </c>
      <c r="N1" s="22" t="b">
        <v>0</v>
      </c>
      <c r="O1" s="1"/>
      <c r="P1" s="21" t="s">
        <v>58</v>
      </c>
      <c r="Q1" s="20" t="s">
        <v>57</v>
      </c>
      <c r="R1" s="1"/>
      <c r="S1" s="1"/>
      <c r="T1" s="1"/>
    </row>
    <row r="2" spans="1:20" ht="15.75" customHeight="1" x14ac:dyDescent="0.3">
      <c r="A2" s="1"/>
      <c r="B2" s="1"/>
      <c r="C2" s="17"/>
      <c r="D2" s="17"/>
      <c r="E2" s="17"/>
      <c r="F2" s="17"/>
      <c r="G2" s="17"/>
      <c r="H2" s="17"/>
      <c r="I2" s="19"/>
      <c r="J2" s="17"/>
      <c r="K2" s="18" t="s">
        <v>56</v>
      </c>
      <c r="L2" s="17"/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3">
      <c r="A3" s="1"/>
      <c r="B3" s="16" t="s">
        <v>55</v>
      </c>
      <c r="C3" s="16" t="s">
        <v>54</v>
      </c>
      <c r="D3" s="16" t="s">
        <v>53</v>
      </c>
      <c r="E3" s="16" t="s">
        <v>52</v>
      </c>
      <c r="F3" s="16" t="s">
        <v>51</v>
      </c>
      <c r="G3" s="15" t="s">
        <v>50</v>
      </c>
      <c r="H3" s="15" t="s">
        <v>49</v>
      </c>
      <c r="I3" s="15" t="s">
        <v>48</v>
      </c>
      <c r="J3" s="14" t="s">
        <v>47</v>
      </c>
      <c r="K3" s="14" t="s">
        <v>46</v>
      </c>
      <c r="L3" s="14" t="s">
        <v>45</v>
      </c>
      <c r="M3" s="13" t="s">
        <v>44</v>
      </c>
      <c r="N3" s="13" t="s">
        <v>43</v>
      </c>
      <c r="O3" s="13" t="s">
        <v>42</v>
      </c>
      <c r="P3" s="12" t="s">
        <v>41</v>
      </c>
      <c r="Q3" s="12" t="s">
        <v>40</v>
      </c>
      <c r="R3" s="11" t="s">
        <v>39</v>
      </c>
      <c r="S3" s="11" t="s">
        <v>38</v>
      </c>
      <c r="T3" s="1"/>
    </row>
    <row r="4" spans="1:20" ht="15" x14ac:dyDescent="0.25">
      <c r="A4" s="10" t="s">
        <v>37</v>
      </c>
      <c r="B4" s="8" t="s">
        <v>36</v>
      </c>
      <c r="C4" s="3">
        <f>S4*0.00283</f>
        <v>314.28172349952007</v>
      </c>
      <c r="D4" s="4">
        <f>[1]INPUTS!O6</f>
        <v>38624.400000000001</v>
      </c>
      <c r="E4" s="4">
        <f>[1]INPUTS!P6</f>
        <v>1037.8</v>
      </c>
      <c r="F4" s="4">
        <f>[1]INPUTS!Q6</f>
        <v>1658.1</v>
      </c>
      <c r="G4" s="4">
        <f>[1]INPUTS!O6</f>
        <v>38624.400000000001</v>
      </c>
      <c r="H4" s="4">
        <f>[2]GEOMETRY_PROCESSING!F6</f>
        <v>971.48179193981059</v>
      </c>
      <c r="I4" s="4">
        <f>[2]GEOMETRY_PROCESSING!G6</f>
        <v>1552.1429554975912</v>
      </c>
      <c r="J4" s="4">
        <f>[1]INPUTS!AD6</f>
        <v>37947.599999999999</v>
      </c>
      <c r="K4" s="4">
        <f>[2]GEOMETRY_PROCESSING!T6</f>
        <v>1002.8183188604747</v>
      </c>
      <c r="L4" s="4">
        <f>[2]GEOMETRY_PROCESSING!U6</f>
        <v>1574.2272270732842</v>
      </c>
      <c r="M4" s="4">
        <f>[1]INPUTS!AD6</f>
        <v>37947.599999999999</v>
      </c>
      <c r="N4" s="4">
        <f>[1]INPUTS!AE6</f>
        <v>1045.8</v>
      </c>
      <c r="O4" s="4">
        <f>[1]INPUTS!AF6</f>
        <v>1641.7</v>
      </c>
      <c r="P4" s="4">
        <v>1.6</v>
      </c>
      <c r="Q4" s="4">
        <f>P4</f>
        <v>1.6</v>
      </c>
      <c r="R4" s="3">
        <v>69408.507840000006</v>
      </c>
      <c r="S4" s="3">
        <f>R4*P4</f>
        <v>111053.61254400002</v>
      </c>
      <c r="T4" s="1"/>
    </row>
    <row r="5" spans="1:20" ht="15" x14ac:dyDescent="0.25">
      <c r="A5" s="7"/>
      <c r="B5" s="8" t="s">
        <v>35</v>
      </c>
      <c r="C5" s="3">
        <f>S5*0.00283</f>
        <v>315.34670737888001</v>
      </c>
      <c r="D5" s="4">
        <f>[1]INPUTS!O7</f>
        <v>38624.400000000001</v>
      </c>
      <c r="E5" s="4">
        <f>[1]INPUTS!P7</f>
        <v>1220.8</v>
      </c>
      <c r="F5" s="4">
        <f>[1]INPUTS!Q7</f>
        <v>1488.4</v>
      </c>
      <c r="G5" s="4">
        <f>[1]INPUTS!O7</f>
        <v>38624.400000000001</v>
      </c>
      <c r="H5" s="4">
        <f>[2]GEOMETRY_PROCESSING!F7</f>
        <v>1141.5279380268596</v>
      </c>
      <c r="I5" s="4">
        <f>[2]GEOMETRY_PROCESSING!G7</f>
        <v>1391.7514604842547</v>
      </c>
      <c r="J5" s="5">
        <v>37947.9</v>
      </c>
      <c r="K5" s="5">
        <v>1130.9000000000001</v>
      </c>
      <c r="L5" s="5">
        <v>1481.7</v>
      </c>
      <c r="M5" s="4">
        <f>[1]INPUTS!AD7</f>
        <v>37947.599999999999</v>
      </c>
      <c r="N5" s="4">
        <f>[1]INPUTS!AE7</f>
        <v>1181.5999999999999</v>
      </c>
      <c r="O5" s="4">
        <f>[1]INPUTS!AF7</f>
        <v>1543.5</v>
      </c>
      <c r="P5" s="4">
        <v>1.6</v>
      </c>
      <c r="Q5" s="4">
        <f>P5</f>
        <v>1.6</v>
      </c>
      <c r="R5" s="3">
        <v>69643.707460000005</v>
      </c>
      <c r="S5" s="3">
        <f>R5*P5</f>
        <v>111429.93193600001</v>
      </c>
      <c r="T5" s="1"/>
    </row>
    <row r="6" spans="1:20" ht="15" x14ac:dyDescent="0.25">
      <c r="A6" s="7"/>
      <c r="B6" s="8" t="s">
        <v>34</v>
      </c>
      <c r="C6" s="3">
        <f>S6*0.00283</f>
        <v>314.24058105008004</v>
      </c>
      <c r="D6" s="4">
        <f>[1]INPUTS!O7</f>
        <v>38624.400000000001</v>
      </c>
      <c r="E6" s="4">
        <f>[1]INPUTS!P8</f>
        <v>1278.7</v>
      </c>
      <c r="F6" s="4">
        <f>[1]INPUTS!Q8</f>
        <v>1434.6</v>
      </c>
      <c r="G6" s="4">
        <f>[1]INPUTS!O8</f>
        <v>38624.400000000001</v>
      </c>
      <c r="H6" s="4">
        <f>[2]GEOMETRY_PROCESSING!F8</f>
        <v>1195.5274236060093</v>
      </c>
      <c r="I6" s="4">
        <f>[2]GEOMETRY_PROCESSING!G8</f>
        <v>1341.2869648120595</v>
      </c>
      <c r="J6" s="4">
        <f>[1]INPUTS!AD8</f>
        <v>37947.599999999999</v>
      </c>
      <c r="K6" s="4">
        <f>[2]GEOMETRY_PROCESSING!T8</f>
        <v>1248.0349188631517</v>
      </c>
      <c r="L6" s="4">
        <f>[2]GEOMETRY_PROCESSING!U8</f>
        <v>1370.4514325268926</v>
      </c>
      <c r="M6" s="4">
        <f>[1]INPUTS!AD8</f>
        <v>37947.599999999999</v>
      </c>
      <c r="N6" s="4">
        <f>[1]INPUTS!AE8</f>
        <v>1301.9000000000001</v>
      </c>
      <c r="O6" s="4">
        <f>[1]INPUTS!AF8</f>
        <v>1429.6</v>
      </c>
      <c r="P6" s="4">
        <v>1.6</v>
      </c>
      <c r="Q6" s="4">
        <f>P6</f>
        <v>1.6</v>
      </c>
      <c r="R6" s="3">
        <v>69399.421610000005</v>
      </c>
      <c r="S6" s="3">
        <f>R6*P6</f>
        <v>111039.07457600001</v>
      </c>
      <c r="T6" s="1"/>
    </row>
    <row r="7" spans="1:20" ht="15" x14ac:dyDescent="0.25">
      <c r="A7" s="7"/>
      <c r="B7" s="8" t="s">
        <v>33</v>
      </c>
      <c r="C7" s="3">
        <f>S7*0.00283</f>
        <v>314.11653802960001</v>
      </c>
      <c r="D7" s="4">
        <f>[1]INPUTS!O8</f>
        <v>38624.400000000001</v>
      </c>
      <c r="E7" s="4">
        <f>[1]INPUTS!P9</f>
        <v>1402.9</v>
      </c>
      <c r="F7" s="4">
        <f>[1]INPUTS!Q9</f>
        <v>1300.5999999999999</v>
      </c>
      <c r="G7" s="4">
        <f>[1]INPUTS!O9</f>
        <v>38624.400000000001</v>
      </c>
      <c r="H7" s="4">
        <f>[2]GEOMETRY_PROCESSING!F9</f>
        <v>1311.2326552809975</v>
      </c>
      <c r="I7" s="4">
        <f>[2]GEOMETRY_PROCESSING!G9</f>
        <v>1215.6170728194918</v>
      </c>
      <c r="J7" s="4">
        <f>[1]INPUTS!AD9</f>
        <v>37947.599999999999</v>
      </c>
      <c r="K7" s="4">
        <f>[2]GEOMETRY_PROCESSING!T9</f>
        <v>1363.4733827987475</v>
      </c>
      <c r="L7" s="4">
        <f>[2]GEOMETRY_PROCESSING!U9</f>
        <v>1261.2751950569766</v>
      </c>
      <c r="M7" s="4">
        <f>[1]INPUTS!AD9</f>
        <v>37947.599999999999</v>
      </c>
      <c r="N7" s="4">
        <f>[1]INPUTS!AE9</f>
        <v>1422.2</v>
      </c>
      <c r="O7" s="4">
        <f>[1]INPUTS!AF9</f>
        <v>1315.6</v>
      </c>
      <c r="P7" s="4">
        <v>1.6</v>
      </c>
      <c r="Q7" s="4">
        <f>P7</f>
        <v>1.6</v>
      </c>
      <c r="R7" s="3">
        <v>69372.026949999999</v>
      </c>
      <c r="S7" s="3">
        <f>R7*P7</f>
        <v>110995.24312</v>
      </c>
      <c r="T7" s="1"/>
    </row>
    <row r="8" spans="1:20" ht="15" x14ac:dyDescent="0.25">
      <c r="A8" s="7"/>
      <c r="B8" s="8" t="s">
        <v>32</v>
      </c>
      <c r="C8" s="3">
        <f>S8*0.00283</f>
        <v>314.23294095568002</v>
      </c>
      <c r="D8" s="4">
        <f>[1]INPUTS!O9</f>
        <v>38624.400000000001</v>
      </c>
      <c r="E8" s="4">
        <f>[1]INPUTS!P10</f>
        <v>1489.7</v>
      </c>
      <c r="F8" s="4">
        <f>[1]INPUTS!Q10</f>
        <v>1187.3</v>
      </c>
      <c r="G8" s="4">
        <f>[1]INPUTS!O10</f>
        <v>38624.400000000001</v>
      </c>
      <c r="H8" s="4">
        <f>[2]GEOMETRY_PROCESSING!F10</f>
        <v>1391.9488026884201</v>
      </c>
      <c r="I8" s="4">
        <f>[2]GEOMETRY_PROCESSING!G10</f>
        <v>1109.3916986184875</v>
      </c>
      <c r="J8" s="4">
        <f>[1]INPUTS!AD10</f>
        <v>37947.599999999999</v>
      </c>
      <c r="K8" s="4">
        <f>[2]GEOMETRY_PROCESSING!T10</f>
        <v>1449.9969476519202</v>
      </c>
      <c r="L8" s="4">
        <f>[2]GEOMETRY_PROCESSING!U10</f>
        <v>1144.1442070413123</v>
      </c>
      <c r="M8" s="4">
        <f>[1]INPUTS!AD10</f>
        <v>37947.599999999999</v>
      </c>
      <c r="N8" s="4">
        <f>[1]INPUTS!AE10</f>
        <v>1512.8</v>
      </c>
      <c r="O8" s="4">
        <f>[1]INPUTS!AF10</f>
        <v>1193.7</v>
      </c>
      <c r="P8" s="4">
        <v>1.6</v>
      </c>
      <c r="Q8" s="4">
        <f>P8</f>
        <v>1.6</v>
      </c>
      <c r="R8" s="3">
        <v>69397.73431</v>
      </c>
      <c r="S8" s="3">
        <f>R8*P8</f>
        <v>111036.37489600001</v>
      </c>
      <c r="T8" s="1"/>
    </row>
    <row r="9" spans="1:20" ht="15" x14ac:dyDescent="0.25">
      <c r="A9" s="7"/>
      <c r="B9" s="8" t="s">
        <v>31</v>
      </c>
      <c r="C9" s="3">
        <f>S9*0.00283</f>
        <v>314.12850354128005</v>
      </c>
      <c r="D9" s="4">
        <f>[1]INPUTS!O10</f>
        <v>38624.400000000001</v>
      </c>
      <c r="E9" s="4">
        <f>[1]INPUTS!P11</f>
        <v>1571.7</v>
      </c>
      <c r="F9" s="4">
        <f>[1]INPUTS!Q11</f>
        <v>1061.0999999999999</v>
      </c>
      <c r="G9" s="4">
        <f>[1]INPUTS!O11</f>
        <v>38624.400000000001</v>
      </c>
      <c r="H9" s="4">
        <f>[2]GEOMETRY_PROCESSING!F11</f>
        <v>1468.1001058371221</v>
      </c>
      <c r="I9" s="4">
        <f>[2]GEOMETRY_PROCESSING!G11</f>
        <v>991.15672348652413</v>
      </c>
      <c r="J9" s="4">
        <f>[1]INPUTS!AD11</f>
        <v>37947.599999999999</v>
      </c>
      <c r="K9" s="4">
        <f>[2]GEOMETRY_PROCESSING!T11</f>
        <v>1536.8889922139783</v>
      </c>
      <c r="L9" s="4">
        <f>[2]GEOMETRY_PROCESSING!U11</f>
        <v>1027.2445634001001</v>
      </c>
      <c r="M9" s="4">
        <f>[1]INPUTS!AD11</f>
        <v>37947.599999999999</v>
      </c>
      <c r="N9" s="4">
        <f>[1]INPUTS!AE11</f>
        <v>1603.4</v>
      </c>
      <c r="O9" s="4">
        <f>[1]INPUTS!AF11</f>
        <v>1071.7</v>
      </c>
      <c r="P9" s="4">
        <v>1.6</v>
      </c>
      <c r="Q9" s="4">
        <f>P8</f>
        <v>1.6</v>
      </c>
      <c r="R9" s="3">
        <v>69374.669510000007</v>
      </c>
      <c r="S9" s="3">
        <f>R9*P9</f>
        <v>110999.47121600002</v>
      </c>
      <c r="T9" s="1"/>
    </row>
    <row r="10" spans="1:20" ht="15" x14ac:dyDescent="0.25">
      <c r="A10" s="7"/>
      <c r="B10" s="8" t="s">
        <v>30</v>
      </c>
      <c r="C10" s="3">
        <f>S10*0.00283</f>
        <v>314.26272917344005</v>
      </c>
      <c r="D10" s="4">
        <f>[1]INPUTS!O11</f>
        <v>38624.400000000001</v>
      </c>
      <c r="E10" s="4">
        <f>[1]INPUTS!P12</f>
        <v>1632.6</v>
      </c>
      <c r="F10" s="4">
        <f>[1]INPUTS!Q12</f>
        <v>950.7</v>
      </c>
      <c r="G10" s="4">
        <f>[1]INPUTS!O12</f>
        <v>38624.400000000001</v>
      </c>
      <c r="H10" s="4">
        <f>[2]GEOMETRY_PROCESSING!F12</f>
        <v>1524.5801532266989</v>
      </c>
      <c r="I10" s="4">
        <f>[2]GEOMETRY_PROCESSING!G12</f>
        <v>887.79759382128066</v>
      </c>
      <c r="J10" s="4">
        <f>[1]INPUTS!AD12</f>
        <v>37947.599999999999</v>
      </c>
      <c r="K10" s="4">
        <f>[2]GEOMETRY_PROCESSING!T12</f>
        <v>1600.2336356269288</v>
      </c>
      <c r="L10" s="4">
        <f>[2]GEOMETRY_PROCESSING!U12</f>
        <v>908.696570428467</v>
      </c>
      <c r="M10" s="4">
        <f>[1]INPUTS!AD12</f>
        <v>37947.599999999999</v>
      </c>
      <c r="N10" s="4">
        <f>[1]INPUTS!AE12</f>
        <v>1669.8</v>
      </c>
      <c r="O10" s="4">
        <f>[1]INPUTS!AF12</f>
        <v>948.2</v>
      </c>
      <c r="P10" s="4">
        <v>1.6</v>
      </c>
      <c r="Q10" s="4">
        <f>P10</f>
        <v>1.6</v>
      </c>
      <c r="R10" s="3">
        <v>69404.312980000002</v>
      </c>
      <c r="S10" s="3">
        <f>R10*P10</f>
        <v>111046.90076800001</v>
      </c>
      <c r="T10" s="1"/>
    </row>
    <row r="11" spans="1:20" ht="15" x14ac:dyDescent="0.25">
      <c r="A11" s="7"/>
      <c r="B11" s="8" t="s">
        <v>29</v>
      </c>
      <c r="C11" s="3">
        <f>S11*0.00283</f>
        <v>314.23174334496002</v>
      </c>
      <c r="D11" s="4">
        <f>[1]INPUTS!O12</f>
        <v>38624.400000000001</v>
      </c>
      <c r="E11" s="4">
        <f>[1]INPUTS!P13</f>
        <v>1692.2</v>
      </c>
      <c r="F11" s="4">
        <f>[1]INPUTS!Q13</f>
        <v>820.3</v>
      </c>
      <c r="G11" s="4">
        <f>[1]INPUTS!O13</f>
        <v>38624.400000000001</v>
      </c>
      <c r="H11" s="4">
        <f>[2]GEOMETRY_PROCESSING!F13</f>
        <v>1579.7190460946467</v>
      </c>
      <c r="I11" s="4">
        <f>[2]GEOMETRY_PROCESSING!G13</f>
        <v>765.77445544937871</v>
      </c>
      <c r="J11" s="4">
        <f>[1]INPUTS!AD13</f>
        <v>37947.599999999999</v>
      </c>
      <c r="K11" s="4">
        <f>[2]GEOMETRY_PROCESSING!T13</f>
        <v>1663.9378803041918</v>
      </c>
      <c r="L11" s="4">
        <f>[2]GEOMETRY_PROCESSING!U13</f>
        <v>790.37528504024135</v>
      </c>
      <c r="M11" s="4">
        <f>[1]INPUTS!AD13</f>
        <v>37947.599999999999</v>
      </c>
      <c r="N11" s="4">
        <f>[1]INPUTS!AE13</f>
        <v>1736.2</v>
      </c>
      <c r="O11" s="4">
        <f>[1]INPUTS!AF13</f>
        <v>824.7</v>
      </c>
      <c r="P11" s="4">
        <v>1.6</v>
      </c>
      <c r="Q11" s="4">
        <f>P11</f>
        <v>1.6</v>
      </c>
      <c r="R11" s="3">
        <v>69397.469819999998</v>
      </c>
      <c r="S11" s="3">
        <f>R11*P11</f>
        <v>111035.95171200001</v>
      </c>
      <c r="T11" s="1"/>
    </row>
    <row r="12" spans="1:20" ht="15" x14ac:dyDescent="0.25">
      <c r="A12" s="7"/>
      <c r="B12" s="8" t="s">
        <v>28</v>
      </c>
      <c r="C12" s="3">
        <f>S12*0.00283</f>
        <v>314.12960226048006</v>
      </c>
      <c r="D12" s="4">
        <f>[1]INPUTS!O13</f>
        <v>38624.400000000001</v>
      </c>
      <c r="E12" s="4">
        <f>[1]INPUTS!P14</f>
        <v>1744.9</v>
      </c>
      <c r="F12" s="4">
        <f>[1]INPUTS!Q14</f>
        <v>672.3</v>
      </c>
      <c r="G12" s="4">
        <f>[1]INPUTS!O14</f>
        <v>38624.400000000001</v>
      </c>
      <c r="H12" s="4">
        <f>[2]GEOMETRY_PROCESSING!F14</f>
        <v>1628.2583517479252</v>
      </c>
      <c r="I12" s="4">
        <f>[2]GEOMETRY_PROCESSING!G14</f>
        <v>627.35863939488229</v>
      </c>
      <c r="J12" s="4">
        <f>[1]INPUTS!AD14</f>
        <v>37947.599999999999</v>
      </c>
      <c r="K12" s="4">
        <f>[2]GEOMETRY_PROCESSING!T14</f>
        <v>1713.9821409594608</v>
      </c>
      <c r="L12" s="4">
        <f>[2]GEOMETRY_PROCESSING!U14</f>
        <v>641.94087676384299</v>
      </c>
      <c r="M12" s="4">
        <f>[1]INPUTS!AD14</f>
        <v>37947.599999999999</v>
      </c>
      <c r="N12" s="4">
        <f>[1]INPUTS!AE14</f>
        <v>1788.9</v>
      </c>
      <c r="O12" s="4">
        <f>[1]INPUTS!AF14</f>
        <v>670</v>
      </c>
      <c r="P12" s="4">
        <v>1.6</v>
      </c>
      <c r="Q12" s="4">
        <f>P12</f>
        <v>1.6</v>
      </c>
      <c r="R12" s="3">
        <v>69374.912160000007</v>
      </c>
      <c r="S12" s="3">
        <f>R12*P12</f>
        <v>110999.85945600002</v>
      </c>
      <c r="T12" s="1"/>
    </row>
    <row r="13" spans="1:20" ht="15" x14ac:dyDescent="0.25">
      <c r="A13" s="7"/>
      <c r="B13" s="8" t="s">
        <v>27</v>
      </c>
      <c r="C13" s="3">
        <f>S13*0.00283</f>
        <v>314.16860414320001</v>
      </c>
      <c r="D13" s="4">
        <f>[1]INPUTS!O14</f>
        <v>38624.400000000001</v>
      </c>
      <c r="E13" s="4">
        <f>[1]INPUTS!P15</f>
        <v>1784.1</v>
      </c>
      <c r="F13" s="4">
        <f>[1]INPUTS!Q15</f>
        <v>515</v>
      </c>
      <c r="G13" s="4">
        <f>[1]INPUTS!O15</f>
        <v>38624.400000000001</v>
      </c>
      <c r="H13" s="4">
        <f>[2]GEOMETRY_PROCESSING!F15</f>
        <v>1664.0034307042376</v>
      </c>
      <c r="I13" s="4">
        <f>[2]GEOMETRY_PROCESSING!G15</f>
        <v>480.33281027559133</v>
      </c>
      <c r="J13" s="4">
        <f>[1]INPUTS!AD15</f>
        <v>37947.599999999999</v>
      </c>
      <c r="K13" s="4">
        <f>[2]GEOMETRY_PROCESSING!T15</f>
        <v>1764.5580142014217</v>
      </c>
      <c r="L13" s="4">
        <f>[2]GEOMETRY_PROCESSING!U15</f>
        <v>493.64698572793901</v>
      </c>
      <c r="M13" s="4">
        <f>[1]INPUTS!AD15</f>
        <v>37947.599999999999</v>
      </c>
      <c r="N13" s="4">
        <f>[1]INPUTS!AE15</f>
        <v>1841.6</v>
      </c>
      <c r="O13" s="4">
        <f>[1]INPUTS!AF15</f>
        <v>515.20000000000005</v>
      </c>
      <c r="P13" s="4">
        <v>1.6</v>
      </c>
      <c r="Q13" s="4">
        <f>P13</f>
        <v>1.6</v>
      </c>
      <c r="R13" s="3">
        <v>69383.525649999996</v>
      </c>
      <c r="S13" s="3">
        <f>R13*P13</f>
        <v>111013.64104</v>
      </c>
      <c r="T13" s="1"/>
    </row>
    <row r="14" spans="1:20" ht="15" x14ac:dyDescent="0.25">
      <c r="A14" s="7"/>
      <c r="B14" s="8" t="s">
        <v>26</v>
      </c>
      <c r="C14" s="3">
        <f>S14*0.00283</f>
        <v>314.19735857328004</v>
      </c>
      <c r="D14" s="4">
        <f>[1]INPUTS!O15</f>
        <v>38624.400000000001</v>
      </c>
      <c r="E14" s="4">
        <f>[1]INPUTS!P16</f>
        <v>1808.6</v>
      </c>
      <c r="F14" s="4">
        <f>[1]INPUTS!Q16</f>
        <v>354.5</v>
      </c>
      <c r="G14" s="4">
        <f>[1]INPUTS!O16</f>
        <v>38624.400000000001</v>
      </c>
      <c r="H14" s="4">
        <f>[2]GEOMETRY_PROCESSING!F16</f>
        <v>1685.934149385776</v>
      </c>
      <c r="I14" s="4">
        <f>[2]GEOMETRY_PROCESSING!G16</f>
        <v>330.45651661907419</v>
      </c>
      <c r="J14" s="4">
        <f>[1]INPUTS!AD16</f>
        <v>37947.599999999999</v>
      </c>
      <c r="K14" s="4">
        <f>[2]GEOMETRY_PROCESSING!T16</f>
        <v>1785.4992553023087</v>
      </c>
      <c r="L14" s="4">
        <f>[2]GEOMETRY_PROCESSING!U16</f>
        <v>338.4029219989838</v>
      </c>
      <c r="M14" s="4">
        <f>[1]INPUTS!AD16</f>
        <v>37947.599999999999</v>
      </c>
      <c r="N14" s="4">
        <f>[1]INPUTS!AE16</f>
        <v>1864.1</v>
      </c>
      <c r="O14" s="4">
        <f>[1]INPUTS!AF16</f>
        <v>353.3</v>
      </c>
      <c r="P14" s="4">
        <v>1.6</v>
      </c>
      <c r="Q14" s="4">
        <f>P14</f>
        <v>1.6</v>
      </c>
      <c r="R14" s="3">
        <v>69389.876010000007</v>
      </c>
      <c r="S14" s="3">
        <f>R14*P14</f>
        <v>111023.80161600001</v>
      </c>
      <c r="T14" s="1"/>
    </row>
    <row r="15" spans="1:20" ht="15" x14ac:dyDescent="0.25">
      <c r="A15" s="7"/>
      <c r="B15" s="8" t="s">
        <v>25</v>
      </c>
      <c r="C15" s="3">
        <f>S15*0.00283</f>
        <v>314.11329054800001</v>
      </c>
      <c r="D15" s="4">
        <f>[1]INPUTS!O16</f>
        <v>38624.400000000001</v>
      </c>
      <c r="E15" s="4">
        <f>[1]INPUTS!P17</f>
        <v>1817.1</v>
      </c>
      <c r="F15" s="4">
        <f>[1]INPUTS!Q17</f>
        <v>190.7</v>
      </c>
      <c r="G15" s="4">
        <f>[1]INPUTS!O17</f>
        <v>38624.400000000001</v>
      </c>
      <c r="H15" s="4">
        <f>[2]GEOMETRY_PROCESSING!F17</f>
        <v>1692.782738277491</v>
      </c>
      <c r="I15" s="4">
        <f>[2]GEOMETRY_PROCESSING!G17</f>
        <v>177.6532211708313</v>
      </c>
      <c r="J15" s="4">
        <f>[1]INPUTS!AD17</f>
        <v>37947.599999999999</v>
      </c>
      <c r="K15" s="4">
        <f>[2]GEOMETRY_PROCESSING!T17</f>
        <v>1807.1080855889218</v>
      </c>
      <c r="L15" s="4">
        <f>[2]GEOMETRY_PROCESSING!U17</f>
        <v>183.22985995291288</v>
      </c>
      <c r="M15" s="4">
        <f>[1]INPUTS!AD17</f>
        <v>37947.599999999999</v>
      </c>
      <c r="N15" s="4">
        <f>[1]INPUTS!AE17</f>
        <v>1886.7</v>
      </c>
      <c r="O15" s="4">
        <f>[1]INPUTS!AF17</f>
        <v>191.3</v>
      </c>
      <c r="P15" s="4">
        <v>1.6</v>
      </c>
      <c r="Q15" s="4">
        <f>P15</f>
        <v>1.6</v>
      </c>
      <c r="R15" s="3">
        <v>69371.30975</v>
      </c>
      <c r="S15" s="3">
        <f>R15*P15</f>
        <v>110994.0956</v>
      </c>
      <c r="T15" s="1"/>
    </row>
    <row r="16" spans="1:20" ht="15" x14ac:dyDescent="0.25">
      <c r="A16" s="7"/>
      <c r="B16" s="8" t="s">
        <v>24</v>
      </c>
      <c r="C16" s="3">
        <f>S16*0.00283</f>
        <v>314.23920743600002</v>
      </c>
      <c r="D16" s="4">
        <f>[1]INPUTS!O17</f>
        <v>38624.400000000001</v>
      </c>
      <c r="E16" s="4">
        <f>[1]INPUTS!P18</f>
        <v>1809.7</v>
      </c>
      <c r="F16" s="4">
        <f>[1]INPUTS!Q18</f>
        <v>50.8</v>
      </c>
      <c r="G16" s="4">
        <f>[1]INPUTS!O18</f>
        <v>38624.400000000001</v>
      </c>
      <c r="H16" s="4">
        <f>[2]GEOMETRY_PROCESSING!F18</f>
        <v>1684.7492195570326</v>
      </c>
      <c r="I16" s="4">
        <f>[2]GEOMETRY_PROCESSING!G18</f>
        <v>47.292512766479113</v>
      </c>
      <c r="J16" s="4">
        <f>[1]INPUTS!AD18</f>
        <v>37947.599999999999</v>
      </c>
      <c r="K16" s="4">
        <f>[2]GEOMETRY_PROCESSING!T18</f>
        <v>1799.6290876158471</v>
      </c>
      <c r="L16" s="4">
        <f>[2]GEOMETRY_PROCESSING!U18</f>
        <v>48.542878666803276</v>
      </c>
      <c r="M16" s="4">
        <f>[1]INPUTS!AD18</f>
        <v>37947.599999999999</v>
      </c>
      <c r="N16" s="4">
        <f>[1]INPUTS!AE18</f>
        <v>1879.6</v>
      </c>
      <c r="O16" s="4">
        <f>[1]INPUTS!AF18</f>
        <v>50.7</v>
      </c>
      <c r="P16" s="4">
        <v>1.6</v>
      </c>
      <c r="Q16" s="4">
        <f>P16</f>
        <v>1.6</v>
      </c>
      <c r="R16" s="3">
        <v>69399.11825</v>
      </c>
      <c r="S16" s="3">
        <f>R16*P16</f>
        <v>111038.5892</v>
      </c>
      <c r="T16" s="1"/>
    </row>
    <row r="17" spans="1:20" ht="15" x14ac:dyDescent="0.25">
      <c r="A17" s="7"/>
      <c r="B17" s="8" t="s">
        <v>23</v>
      </c>
      <c r="C17" s="3">
        <f>S17*0.00283</f>
        <v>314.13585474927999</v>
      </c>
      <c r="D17" s="4">
        <f>[1]INPUTS!O18</f>
        <v>38624.400000000001</v>
      </c>
      <c r="E17" s="4">
        <f>[1]INPUTS!P19</f>
        <v>1787.4</v>
      </c>
      <c r="F17" s="4">
        <f>[1]INPUTS!Q19</f>
        <v>-98.3</v>
      </c>
      <c r="G17" s="4">
        <f>[1]INPUTS!O19</f>
        <v>38624.400000000001</v>
      </c>
      <c r="H17" s="4">
        <f>[2]GEOMETRY_PROCESSING!F19</f>
        <v>1662.5886078409465</v>
      </c>
      <c r="I17" s="4">
        <f>[2]GEOMETRY_PROCESSING!G19</f>
        <v>-91.43586223048284</v>
      </c>
      <c r="J17" s="4">
        <f>[1]INPUTS!AD19</f>
        <v>37947.599999999999</v>
      </c>
      <c r="K17" s="4">
        <f>[2]GEOMETRY_PROCESSING!T19</f>
        <v>1792.5922464553307</v>
      </c>
      <c r="L17" s="4">
        <f>[2]GEOMETRY_PROCESSING!U19</f>
        <v>-86.159306905730176</v>
      </c>
      <c r="M17" s="4">
        <f>[1]INPUTS!AD19</f>
        <v>37947.599999999999</v>
      </c>
      <c r="N17" s="4">
        <f>[1]INPUTS!AE19</f>
        <v>1872.5</v>
      </c>
      <c r="O17" s="4">
        <f>[1]INPUTS!AF19</f>
        <v>-90</v>
      </c>
      <c r="P17" s="4">
        <v>1.6</v>
      </c>
      <c r="Q17" s="4">
        <f>P17</f>
        <v>1.6</v>
      </c>
      <c r="R17" s="3">
        <v>69376.293009999994</v>
      </c>
      <c r="S17" s="3">
        <f>R17*P17</f>
        <v>111002.068816</v>
      </c>
      <c r="T17" s="1"/>
    </row>
    <row r="18" spans="1:20" ht="15" x14ac:dyDescent="0.25">
      <c r="A18" s="7"/>
      <c r="B18" s="8" t="s">
        <v>22</v>
      </c>
      <c r="C18" s="3">
        <f>S18*0.00283</f>
        <v>314.12544763936</v>
      </c>
      <c r="D18" s="4">
        <f>[1]INPUTS!O19</f>
        <v>38624.400000000001</v>
      </c>
      <c r="E18" s="4">
        <f>[1]INPUTS!P20</f>
        <v>1754.7</v>
      </c>
      <c r="F18" s="4">
        <f>[1]INPUTS!Q20</f>
        <v>-230.5</v>
      </c>
      <c r="G18" s="4">
        <f>[1]INPUTS!O20</f>
        <v>38624.400000000001</v>
      </c>
      <c r="H18" s="4">
        <f>[2]GEOMETRY_PROCESSING!F20</f>
        <v>1630.7647300423334</v>
      </c>
      <c r="I18" s="4">
        <f>[2]GEOMETRY_PROCESSING!G20</f>
        <v>-214.21967873411859</v>
      </c>
      <c r="J18" s="4">
        <f>[1]INPUTS!AD20</f>
        <v>37947.599999999999</v>
      </c>
      <c r="K18" s="4">
        <f>[2]GEOMETRY_PROCESSING!T20</f>
        <v>1758.0200317358951</v>
      </c>
      <c r="L18" s="4">
        <f>[2]GEOMETRY_PROCESSING!U20</f>
        <v>-220.15914297508951</v>
      </c>
      <c r="M18" s="4">
        <f>[1]INPUTS!AD20</f>
        <v>37947.599999999999</v>
      </c>
      <c r="N18" s="4">
        <f>[1]INPUTS!AE20</f>
        <v>1837.4</v>
      </c>
      <c r="O18" s="4">
        <f>[1]INPUTS!AF20</f>
        <v>-230.1</v>
      </c>
      <c r="P18" s="4">
        <v>1.6</v>
      </c>
      <c r="Q18" s="4">
        <f>P18</f>
        <v>1.6</v>
      </c>
      <c r="R18" s="3">
        <v>69373.994619999998</v>
      </c>
      <c r="S18" s="3">
        <f>R18*P18</f>
        <v>110998.391392</v>
      </c>
      <c r="T18" s="1"/>
    </row>
    <row r="19" spans="1:20" ht="15" x14ac:dyDescent="0.25">
      <c r="A19" s="7"/>
      <c r="B19" s="8" t="s">
        <v>21</v>
      </c>
      <c r="C19" s="3">
        <f>S19*0.00283</f>
        <v>314.35253983472001</v>
      </c>
      <c r="D19" s="4">
        <f>[1]INPUTS!O20</f>
        <v>38624.400000000001</v>
      </c>
      <c r="E19" s="4">
        <f>[1]INPUTS!P21</f>
        <v>1705</v>
      </c>
      <c r="F19" s="4">
        <f>[1]INPUTS!Q21</f>
        <v>-379.1</v>
      </c>
      <c r="G19" s="4">
        <f>[1]INPUTS!O21</f>
        <v>38624.400000000001</v>
      </c>
      <c r="H19" s="4">
        <f>[2]GEOMETRY_PROCESSING!F21</f>
        <v>1582.9798177515424</v>
      </c>
      <c r="I19" s="4">
        <f>[2]GEOMETRY_PROCESSING!G21</f>
        <v>-351.96929554815819</v>
      </c>
      <c r="J19" s="5">
        <v>37947.699999999997</v>
      </c>
      <c r="K19" s="5">
        <v>1724.2</v>
      </c>
      <c r="L19" s="5">
        <v>-352.9</v>
      </c>
      <c r="M19" s="4">
        <f>[1]INPUTS!AD21</f>
        <v>37947.599999999999</v>
      </c>
      <c r="N19" s="4">
        <f>[1]INPUTS!AE21</f>
        <v>1802.3</v>
      </c>
      <c r="O19" s="4">
        <f>[1]INPUTS!AF21</f>
        <v>-370.3</v>
      </c>
      <c r="P19" s="4">
        <v>1.6</v>
      </c>
      <c r="Q19" s="4">
        <f>P19</f>
        <v>1.6</v>
      </c>
      <c r="R19" s="3">
        <v>69424.147490000003</v>
      </c>
      <c r="S19" s="3">
        <f>R19*P19</f>
        <v>111078.63598400001</v>
      </c>
      <c r="T19" s="1"/>
    </row>
    <row r="20" spans="1:20" ht="15" x14ac:dyDescent="0.25">
      <c r="A20" s="7"/>
      <c r="B20" s="8" t="s">
        <v>20</v>
      </c>
      <c r="C20" s="3">
        <f>S20*0.00283</f>
        <v>314.29599435184002</v>
      </c>
      <c r="D20" s="4">
        <f>[1]INPUTS!O21</f>
        <v>38624.400000000001</v>
      </c>
      <c r="E20" s="4">
        <f>[1]INPUTS!P22</f>
        <v>1648.2</v>
      </c>
      <c r="F20" s="4">
        <f>[1]INPUTS!Q22</f>
        <v>-508.5</v>
      </c>
      <c r="G20" s="4">
        <f>[1]INPUTS!O22</f>
        <v>38624.400000000001</v>
      </c>
      <c r="H20" s="4">
        <f>[2]GEOMETRY_PROCESSING!F22</f>
        <v>1528.7553922730899</v>
      </c>
      <c r="I20" s="4">
        <f>[2]GEOMETRY_PROCESSING!G22</f>
        <v>-471.6491426834524</v>
      </c>
      <c r="J20" s="4">
        <f>[1]INPUTS!AD22</f>
        <v>37947.599999999999</v>
      </c>
      <c r="K20" s="4">
        <f>[2]GEOMETRY_PROCESSING!T22</f>
        <v>1663.7386916911394</v>
      </c>
      <c r="L20" s="4">
        <f>[2]GEOMETRY_PROCESSING!U22</f>
        <v>-488.36776649526178</v>
      </c>
      <c r="M20" s="4">
        <f>[1]INPUTS!AD22</f>
        <v>37947.599999999999</v>
      </c>
      <c r="N20" s="4">
        <f>[1]INPUTS!AE22</f>
        <v>1740.5</v>
      </c>
      <c r="O20" s="4">
        <f>[1]INPUTS!AF22</f>
        <v>-510.9</v>
      </c>
      <c r="P20" s="4">
        <v>1.6</v>
      </c>
      <c r="Q20" s="4">
        <f>P20</f>
        <v>1.6</v>
      </c>
      <c r="R20" s="3">
        <v>69411.659530000004</v>
      </c>
      <c r="S20" s="3">
        <f>R20*P20</f>
        <v>111058.65524800001</v>
      </c>
      <c r="T20" s="1"/>
    </row>
    <row r="21" spans="1:20" ht="15" x14ac:dyDescent="0.25">
      <c r="A21" s="6"/>
      <c r="B21" s="8" t="s">
        <v>19</v>
      </c>
      <c r="C21" s="3">
        <f>S21*0.00283</f>
        <v>314.28589763632004</v>
      </c>
      <c r="D21" s="4">
        <f>[1]INPUTS!O22</f>
        <v>38624.400000000001</v>
      </c>
      <c r="E21" s="4">
        <f>[1]INPUTS!P23</f>
        <v>1594.2</v>
      </c>
      <c r="F21" s="4">
        <f>[1]INPUTS!Q23</f>
        <v>-631.4</v>
      </c>
      <c r="G21" s="4">
        <f>[1]INPUTS!O23</f>
        <v>38624.400000000001</v>
      </c>
      <c r="H21" s="4">
        <f>[2]GEOMETRY_PROCESSING!F23</f>
        <v>1477.983219010149</v>
      </c>
      <c r="I21" s="4">
        <f>[2]GEOMETRY_PROCESSING!G23</f>
        <v>-585.37109803224689</v>
      </c>
      <c r="J21" s="5">
        <v>37947.699999999997</v>
      </c>
      <c r="K21" s="5">
        <v>1615.7</v>
      </c>
      <c r="L21" s="5">
        <v>-603</v>
      </c>
      <c r="M21" s="4">
        <f>[1]INPUTS!AD23</f>
        <v>37947.599999999999</v>
      </c>
      <c r="N21" s="4">
        <f>[1]INPUTS!AE23</f>
        <v>1690</v>
      </c>
      <c r="O21" s="4">
        <f>[1]INPUTS!AF23</f>
        <v>-632.4</v>
      </c>
      <c r="P21" s="4">
        <v>1.6</v>
      </c>
      <c r="Q21" s="4">
        <f>P21</f>
        <v>1.6</v>
      </c>
      <c r="R21" s="3">
        <v>69409.429690000004</v>
      </c>
      <c r="S21" s="3">
        <f>R21*P21</f>
        <v>111055.08750400001</v>
      </c>
      <c r="T21" s="1"/>
    </row>
    <row r="22" spans="1:20" ht="15" x14ac:dyDescent="0.25">
      <c r="A22" s="9" t="s">
        <v>18</v>
      </c>
      <c r="B22" s="8" t="s">
        <v>17</v>
      </c>
      <c r="C22" s="3">
        <f>S22*0.00283</f>
        <v>198.15518386800002</v>
      </c>
      <c r="D22" s="4">
        <f>[1]INPUTS!T6</f>
        <v>39604.400000000001</v>
      </c>
      <c r="E22" s="4">
        <f>[1]INPUTS!U6</f>
        <v>993.2</v>
      </c>
      <c r="F22" s="4">
        <f>[1]INPUTS!V6</f>
        <v>1653.7</v>
      </c>
      <c r="G22" s="4">
        <f>[1]INPUTS!T6</f>
        <v>39604.400000000001</v>
      </c>
      <c r="H22" s="4">
        <f>[2]GEOMETRY_PROCESSING!M6</f>
        <v>928.8413430663303</v>
      </c>
      <c r="I22" s="4">
        <f>[2]GEOMETRY_PROCESSING!N6</f>
        <v>1546.5414106210137</v>
      </c>
      <c r="J22" s="4">
        <f>[1]INPUTS!AI6</f>
        <v>40030.400000000001</v>
      </c>
      <c r="K22" s="4">
        <f>[2]GEOMETRY_PROCESSING!AA6</f>
        <v>906.47515127221129</v>
      </c>
      <c r="L22" s="4">
        <f>[2]GEOMETRY_PROCESSING!AB6</f>
        <v>1558.3482715702166</v>
      </c>
      <c r="M22" s="4">
        <f>[1]INPUTS!AI6</f>
        <v>40030.400000000001</v>
      </c>
      <c r="N22" s="4">
        <f>[1]INPUTS!AJ6</f>
        <v>946.7</v>
      </c>
      <c r="O22" s="4">
        <f>[1]INPUTS!AK6</f>
        <v>1627.5</v>
      </c>
      <c r="P22" s="4">
        <v>1.6</v>
      </c>
      <c r="Q22" s="4">
        <f>P22</f>
        <v>1.6</v>
      </c>
      <c r="R22" s="3">
        <v>43762.187250000003</v>
      </c>
      <c r="S22" s="3">
        <f>R22*P22</f>
        <v>70019.49960000001</v>
      </c>
      <c r="T22" s="1"/>
    </row>
    <row r="23" spans="1:20" ht="15" x14ac:dyDescent="0.25">
      <c r="A23" s="7"/>
      <c r="B23" s="3" t="s">
        <v>16</v>
      </c>
      <c r="C23" s="3">
        <f>S23*0.00283</f>
        <v>200.09211877568004</v>
      </c>
      <c r="D23" s="4">
        <f>[1]INPUTS!T7</f>
        <v>39604.400000000001</v>
      </c>
      <c r="E23" s="4">
        <f>[1]INPUTS!U7</f>
        <v>1126.3</v>
      </c>
      <c r="F23" s="4">
        <f>[1]INPUTS!V7</f>
        <v>1519.2</v>
      </c>
      <c r="G23" s="4">
        <f>[1]INPUTS!T7</f>
        <v>39604.400000000001</v>
      </c>
      <c r="H23" s="4">
        <f>[2]GEOMETRY_PROCESSING!M7</f>
        <v>1051.8553061747486</v>
      </c>
      <c r="I23" s="4">
        <f>[2]GEOMETRY_PROCESSING!N7</f>
        <v>1418.7859195069507</v>
      </c>
      <c r="J23" s="5">
        <v>40029.9</v>
      </c>
      <c r="K23" s="5">
        <v>1011.6</v>
      </c>
      <c r="L23" s="5">
        <v>1479.2</v>
      </c>
      <c r="M23" s="4">
        <f>[1]INPUTS!AI7</f>
        <v>40030.400000000001</v>
      </c>
      <c r="N23" s="4">
        <f>[1]INPUTS!AJ7</f>
        <v>1059.2</v>
      </c>
      <c r="O23" s="4">
        <f>[1]INPUTS!AK7</f>
        <v>1543.5</v>
      </c>
      <c r="P23" s="4">
        <v>1.6</v>
      </c>
      <c r="Q23" s="4">
        <f>P23</f>
        <v>1.6</v>
      </c>
      <c r="R23" s="3">
        <v>44189.955560000002</v>
      </c>
      <c r="S23" s="3">
        <f>R23*P23</f>
        <v>70703.928896000012</v>
      </c>
      <c r="T23" s="1"/>
    </row>
    <row r="24" spans="1:20" ht="15" x14ac:dyDescent="0.25">
      <c r="A24" s="7"/>
      <c r="B24" s="3" t="s">
        <v>15</v>
      </c>
      <c r="C24" s="3">
        <f>S24*0.00283</f>
        <v>198.18893050864</v>
      </c>
      <c r="D24" s="4">
        <f>[1]INPUTS!T8</f>
        <v>39604.400000000001</v>
      </c>
      <c r="E24" s="4">
        <f>[1]INPUTS!U8</f>
        <v>1216.7</v>
      </c>
      <c r="F24" s="4">
        <f>[1]INPUTS!V8</f>
        <v>1434.6</v>
      </c>
      <c r="G24" s="4">
        <f>[1]INPUTS!T8</f>
        <v>39604.400000000001</v>
      </c>
      <c r="H24" s="4">
        <f>[2]GEOMETRY_PROCESSING!M8</f>
        <v>1135.8485439414455</v>
      </c>
      <c r="I24" s="4">
        <f>[2]GEOMETRY_PROCESSING!N8</f>
        <v>1339.2687771335559</v>
      </c>
      <c r="J24" s="5">
        <v>40030.300000000003</v>
      </c>
      <c r="K24" s="5">
        <v>1120</v>
      </c>
      <c r="L24" s="5">
        <v>1368.6</v>
      </c>
      <c r="M24" s="4">
        <f>[1]INPUTS!AI7</f>
        <v>40030.400000000001</v>
      </c>
      <c r="N24" s="4">
        <f>[1]INPUTS!AJ8</f>
        <v>1171.7</v>
      </c>
      <c r="O24" s="4">
        <f>[1]INPUTS!AK8</f>
        <v>1429.6</v>
      </c>
      <c r="P24" s="4">
        <v>1.6</v>
      </c>
      <c r="Q24" s="4">
        <f>P24</f>
        <v>1.6</v>
      </c>
      <c r="R24" s="3">
        <v>43769.64013</v>
      </c>
      <c r="S24" s="3">
        <f>R24*P24</f>
        <v>70031.424207999997</v>
      </c>
      <c r="T24" s="1"/>
    </row>
    <row r="25" spans="1:20" ht="15" x14ac:dyDescent="0.25">
      <c r="A25" s="7"/>
      <c r="B25" s="3" t="s">
        <v>14</v>
      </c>
      <c r="C25" s="3">
        <f>S25*0.00283</f>
        <v>197.7275489072</v>
      </c>
      <c r="D25" s="4">
        <f>[1]INPUTS!T9</f>
        <v>39604.400000000001</v>
      </c>
      <c r="E25" s="4">
        <f>[1]INPUTS!U9</f>
        <v>1313.7</v>
      </c>
      <c r="F25" s="4">
        <f>[1]INPUTS!V9</f>
        <v>1327.2</v>
      </c>
      <c r="G25" s="4">
        <f>[1]INPUTS!T9</f>
        <v>39604.400000000001</v>
      </c>
      <c r="H25" s="4">
        <f>[2]GEOMETRY_PROCESSING!M9</f>
        <v>1225.7646331188776</v>
      </c>
      <c r="I25" s="4">
        <f>[2]GEOMETRY_PROCESSING!N9</f>
        <v>1238.3609812555183</v>
      </c>
      <c r="J25" s="4">
        <f>[1]INPUTS!AI9</f>
        <v>40030.400000000001</v>
      </c>
      <c r="K25" s="4">
        <f>[2]GEOMETRY_PROCESSING!AA9</f>
        <v>1228.4165315296545</v>
      </c>
      <c r="L25" s="4">
        <f>[2]GEOMETRY_PROCESSING!AB9</f>
        <v>1258.3545813909625</v>
      </c>
      <c r="M25" s="4">
        <f>[1]INPUTS!AI8</f>
        <v>40030.400000000001</v>
      </c>
      <c r="N25" s="4">
        <f>[1]INPUTS!AJ9</f>
        <v>1284.3</v>
      </c>
      <c r="O25" s="4">
        <f>[1]INPUTS!AK9</f>
        <v>1315.6</v>
      </c>
      <c r="P25" s="4">
        <v>1.6</v>
      </c>
      <c r="Q25" s="4">
        <f>P25</f>
        <v>1.6</v>
      </c>
      <c r="R25" s="3">
        <v>43667.744899999998</v>
      </c>
      <c r="S25" s="3">
        <f>R25*P25</f>
        <v>69868.391839999997</v>
      </c>
      <c r="T25" s="1"/>
    </row>
    <row r="26" spans="1:20" ht="15" x14ac:dyDescent="0.25">
      <c r="A26" s="7"/>
      <c r="B26" s="3" t="s">
        <v>13</v>
      </c>
      <c r="C26" s="3">
        <f>S26*0.00283</f>
        <v>198.52257256624003</v>
      </c>
      <c r="D26" s="4">
        <f>[1]INPUTS!T10</f>
        <v>39604.400000000001</v>
      </c>
      <c r="E26" s="4">
        <f>[1]INPUTS!U10</f>
        <v>1417.6</v>
      </c>
      <c r="F26" s="4">
        <f>[1]INPUTS!V10</f>
        <v>1187.3</v>
      </c>
      <c r="G26" s="4">
        <f>[1]INPUTS!T10</f>
        <v>39604.400000000001</v>
      </c>
      <c r="H26" s="4">
        <f>[2]GEOMETRY_PROCESSING!M10</f>
        <v>1321.7710007211492</v>
      </c>
      <c r="I26" s="4">
        <f>[2]GEOMETRY_PROCESSING!N10</f>
        <v>1107.0391571361602</v>
      </c>
      <c r="J26" s="5">
        <v>40030.199999999997</v>
      </c>
      <c r="K26" s="5">
        <v>1302.5</v>
      </c>
      <c r="L26" s="5">
        <v>1142.3</v>
      </c>
      <c r="M26" s="4">
        <f>[1]INPUTS!AI9</f>
        <v>40030.400000000001</v>
      </c>
      <c r="N26" s="4">
        <f>[1]INPUTS!AJ10</f>
        <v>1363.8</v>
      </c>
      <c r="O26" s="4">
        <f>[1]INPUTS!AK10</f>
        <v>1193.7</v>
      </c>
      <c r="P26" s="4">
        <v>1.6</v>
      </c>
      <c r="Q26" s="4">
        <f>P26</f>
        <v>1.6</v>
      </c>
      <c r="R26" s="3">
        <v>43843.324330000003</v>
      </c>
      <c r="S26" s="3">
        <f>R26*P26</f>
        <v>70149.318928000008</v>
      </c>
      <c r="T26" s="1"/>
    </row>
    <row r="27" spans="1:20" ht="15" x14ac:dyDescent="0.25">
      <c r="A27" s="7"/>
      <c r="B27" s="3" t="s">
        <v>12</v>
      </c>
      <c r="C27" s="3">
        <f>S27*0.00283</f>
        <v>197.81251374816</v>
      </c>
      <c r="D27" s="4">
        <f>[1]INPUTS!T11</f>
        <v>39604.400000000001</v>
      </c>
      <c r="E27" s="4">
        <f>[1]INPUTS!U11</f>
        <v>1482.4</v>
      </c>
      <c r="F27" s="4">
        <f>[1]INPUTS!V11</f>
        <v>1079.5</v>
      </c>
      <c r="G27" s="4">
        <f>[1]INPUTS!T11</f>
        <v>39604.400000000001</v>
      </c>
      <c r="H27" s="4">
        <f>[2]GEOMETRY_PROCESSING!M11</f>
        <v>1381.3531075159215</v>
      </c>
      <c r="I27" s="4">
        <f>[2]GEOMETRY_PROCESSING!N11</f>
        <v>1005.9165404502407</v>
      </c>
      <c r="J27" s="4">
        <f>[1]INPUTS!AI11</f>
        <v>40030.400000000001</v>
      </c>
      <c r="K27" s="4">
        <f>[2]GEOMETRY_PROCESSING!AA11</f>
        <v>1379.0705725334856</v>
      </c>
      <c r="L27" s="4">
        <f>[2]GEOMETRY_PROCESSING!AB11</f>
        <v>1024.0074361422689</v>
      </c>
      <c r="M27" s="4">
        <f>[1]INPUTS!AI10</f>
        <v>40030.400000000001</v>
      </c>
      <c r="N27" s="4">
        <f>[1]INPUTS!AJ11</f>
        <v>1443.3</v>
      </c>
      <c r="O27" s="4">
        <f>[1]INPUTS!AK11</f>
        <v>1071.7</v>
      </c>
      <c r="P27" s="4">
        <v>1.6</v>
      </c>
      <c r="Q27" s="4">
        <f>P27</f>
        <v>1.6</v>
      </c>
      <c r="R27" s="3">
        <v>43686.50922</v>
      </c>
      <c r="S27" s="3">
        <f>R27*P27</f>
        <v>69898.414751999997</v>
      </c>
      <c r="T27" s="1"/>
    </row>
    <row r="28" spans="1:20" ht="15" x14ac:dyDescent="0.25">
      <c r="A28" s="7"/>
      <c r="B28" s="3" t="s">
        <v>11</v>
      </c>
      <c r="C28" s="3">
        <f>S28*0.00283</f>
        <v>198.18101162527998</v>
      </c>
      <c r="D28" s="4">
        <f>[1]INPUTS!T12</f>
        <v>39604.400000000001</v>
      </c>
      <c r="E28" s="4">
        <f>[1]INPUTS!U12</f>
        <v>1545.2</v>
      </c>
      <c r="F28" s="4">
        <f>[1]INPUTS!V12</f>
        <v>950.7</v>
      </c>
      <c r="G28" s="4">
        <f>[1]INPUTS!T12</f>
        <v>39604.400000000001</v>
      </c>
      <c r="H28" s="4">
        <f>[2]GEOMETRY_PROCESSING!M12</f>
        <v>1438.7367967424452</v>
      </c>
      <c r="I28" s="4">
        <f>[2]GEOMETRY_PROCESSING!N12</f>
        <v>885.19743247672966</v>
      </c>
      <c r="J28" s="5">
        <v>40030.300000000003</v>
      </c>
      <c r="K28" s="5">
        <v>1420.4</v>
      </c>
      <c r="L28" s="5">
        <v>906.3</v>
      </c>
      <c r="M28" s="4">
        <f>[1]INPUTS!AI11</f>
        <v>40030.400000000001</v>
      </c>
      <c r="N28" s="4">
        <f>[1]INPUTS!AJ12</f>
        <v>1488.6</v>
      </c>
      <c r="O28" s="4">
        <f>[1]INPUTS!AK12</f>
        <v>948.2</v>
      </c>
      <c r="P28" s="4">
        <v>1.6</v>
      </c>
      <c r="Q28" s="4">
        <f>P28</f>
        <v>1.6</v>
      </c>
      <c r="R28" s="3">
        <v>43767.891259999997</v>
      </c>
      <c r="S28" s="3">
        <f>R28*P28</f>
        <v>70028.626015999995</v>
      </c>
      <c r="T28" s="1"/>
    </row>
    <row r="29" spans="1:20" ht="15" x14ac:dyDescent="0.25">
      <c r="A29" s="7"/>
      <c r="B29" s="3" t="s">
        <v>10</v>
      </c>
      <c r="C29" s="3">
        <f>S29*0.00283</f>
        <v>198.05627115696001</v>
      </c>
      <c r="D29" s="4">
        <f>[1]INPUTS!T13</f>
        <v>39604.400000000001</v>
      </c>
      <c r="E29" s="4">
        <f>[1]INPUTS!U13</f>
        <v>1590.1</v>
      </c>
      <c r="F29" s="4">
        <f>[1]INPUTS!V13</f>
        <v>827.2</v>
      </c>
      <c r="G29" s="4">
        <f>[1]INPUTS!T13</f>
        <v>39604.400000000001</v>
      </c>
      <c r="H29" s="4">
        <f>[2]GEOMETRY_PROCESSING!M13</f>
        <v>1479.2078353622628</v>
      </c>
      <c r="I29" s="4">
        <f>[2]GEOMETRY_PROCESSING!N13</f>
        <v>769.51180517682155</v>
      </c>
      <c r="J29" s="4">
        <f>[1]INPUTS!AI13</f>
        <v>40030.400000000001</v>
      </c>
      <c r="K29" s="4">
        <f>[2]GEOMETRY_PROCESSING!AA13</f>
        <v>1463.4384307217808</v>
      </c>
      <c r="L29" s="4">
        <f>[2]GEOMETRY_PROCESSING!AB13</f>
        <v>786.81639860242024</v>
      </c>
      <c r="M29" s="4">
        <f>[1]INPUTS!AI12</f>
        <v>40030.400000000001</v>
      </c>
      <c r="N29" s="4">
        <f>[1]INPUTS!AJ13</f>
        <v>1533.9</v>
      </c>
      <c r="O29" s="4">
        <f>[1]INPUTS!AK13</f>
        <v>824.7</v>
      </c>
      <c r="P29" s="4">
        <v>1.6</v>
      </c>
      <c r="Q29" s="4">
        <f>P29</f>
        <v>1.6</v>
      </c>
      <c r="R29" s="3">
        <v>43740.342570000001</v>
      </c>
      <c r="S29" s="3">
        <f>R29*P29</f>
        <v>69984.548112000004</v>
      </c>
      <c r="T29" s="1"/>
    </row>
    <row r="30" spans="1:20" ht="15" x14ac:dyDescent="0.25">
      <c r="A30" s="7"/>
      <c r="B30" s="3" t="s">
        <v>9</v>
      </c>
      <c r="C30" s="3">
        <f>S30*0.00283</f>
        <v>198.02359366768002</v>
      </c>
      <c r="D30" s="4">
        <f>[1]INPUTS!T14</f>
        <v>39604.400000000001</v>
      </c>
      <c r="E30" s="4">
        <f>[1]INPUTS!U14</f>
        <v>1628.8</v>
      </c>
      <c r="F30" s="4">
        <f>[1]INPUTS!V14</f>
        <v>672.3</v>
      </c>
      <c r="G30" s="4">
        <f>[1]INPUTS!T14</f>
        <v>39604.400000000001</v>
      </c>
      <c r="H30" s="4">
        <f>[2]GEOMETRY_PROCESSING!M14</f>
        <v>1513.2556805919448</v>
      </c>
      <c r="I30" s="4">
        <f>[2]GEOMETRY_PROCESSING!N14</f>
        <v>624.60817415395661</v>
      </c>
      <c r="J30" s="4">
        <f>[1]INPUTS!AI14</f>
        <v>40030.400000000001</v>
      </c>
      <c r="K30" s="4">
        <f>[2]GEOMETRY_PROCESSING!AA14</f>
        <v>1482.6215015781304</v>
      </c>
      <c r="L30" s="4">
        <f>[2]GEOMETRY_PROCESSING!AB14</f>
        <v>638.36283404495043</v>
      </c>
      <c r="M30" s="4">
        <f>[1]INPUTS!AI13</f>
        <v>40030.400000000001</v>
      </c>
      <c r="N30" s="4">
        <f>[1]INPUTS!AJ14</f>
        <v>1556.1</v>
      </c>
      <c r="O30" s="4">
        <f>[1]INPUTS!AK14</f>
        <v>670</v>
      </c>
      <c r="P30" s="4">
        <v>1.6</v>
      </c>
      <c r="Q30" s="4">
        <f>P30</f>
        <v>1.6</v>
      </c>
      <c r="R30" s="3">
        <v>43733.125809999998</v>
      </c>
      <c r="S30" s="3">
        <f>R30*P30</f>
        <v>69973.001296000002</v>
      </c>
      <c r="T30" s="1"/>
    </row>
    <row r="31" spans="1:20" ht="15" x14ac:dyDescent="0.25">
      <c r="A31" s="7"/>
      <c r="B31" s="3" t="s">
        <v>8</v>
      </c>
      <c r="C31" s="3">
        <f>S31*0.00283</f>
        <v>198.07775592832004</v>
      </c>
      <c r="D31" s="4">
        <f>[1]INPUTS!T15</f>
        <v>39604.400000000001</v>
      </c>
      <c r="E31" s="4">
        <f>[1]INPUTS!U15</f>
        <v>1652</v>
      </c>
      <c r="F31" s="4">
        <f>[1]INPUTS!V15</f>
        <v>513.1</v>
      </c>
      <c r="G31" s="4">
        <f>[1]INPUTS!T15</f>
        <v>39604.400000000001</v>
      </c>
      <c r="H31" s="4">
        <f>[2]GEOMETRY_PROCESSING!M15</f>
        <v>1532.6253797989684</v>
      </c>
      <c r="I31" s="4">
        <f>[2]GEOMETRY_PROCESSING!N15</f>
        <v>476.02305228501859</v>
      </c>
      <c r="J31" s="4">
        <f>[1]INPUTS!AI15</f>
        <v>40030.400000000001</v>
      </c>
      <c r="K31" s="4">
        <f>[2]GEOMETRY_PROCESSING!AA15</f>
        <v>1502.2492425069481</v>
      </c>
      <c r="L31" s="4">
        <f>[2]GEOMETRY_PROCESSING!AB15</f>
        <v>490.37496657136137</v>
      </c>
      <c r="M31" s="4">
        <f>[1]INPUTS!AI14</f>
        <v>40030.400000000001</v>
      </c>
      <c r="N31" s="4">
        <f>[1]INPUTS!AJ15</f>
        <v>1578.3</v>
      </c>
      <c r="O31" s="4">
        <f>[1]INPUTS!AK15</f>
        <v>515.20000000000005</v>
      </c>
      <c r="P31" s="4">
        <v>1.6</v>
      </c>
      <c r="Q31" s="4">
        <f>P31</f>
        <v>1.6</v>
      </c>
      <c r="R31" s="3">
        <v>43745.087440000003</v>
      </c>
      <c r="S31" s="3">
        <f>R31*P31</f>
        <v>69992.139904000011</v>
      </c>
      <c r="T31" s="1"/>
    </row>
    <row r="32" spans="1:20" ht="15" x14ac:dyDescent="0.25">
      <c r="A32" s="7"/>
      <c r="B32" s="3" t="s">
        <v>7</v>
      </c>
      <c r="C32" s="3">
        <f>S32*0.00283</f>
        <v>197.83751650383999</v>
      </c>
      <c r="D32" s="4">
        <f>[1]INPUTS!T16</f>
        <v>39604.400000000001</v>
      </c>
      <c r="E32" s="4">
        <f>[1]INPUTS!U16</f>
        <v>1661.7</v>
      </c>
      <c r="F32" s="4">
        <f>[1]INPUTS!V16</f>
        <v>354.5</v>
      </c>
      <c r="G32" s="4">
        <f>[1]INPUTS!T16</f>
        <v>39604.400000000001</v>
      </c>
      <c r="H32" s="4">
        <f>[2]GEOMETRY_PROCESSING!M16</f>
        <v>1539.4509554931237</v>
      </c>
      <c r="I32" s="4">
        <f>[2]GEOMETRY_PROCESSING!N16</f>
        <v>328.41990956388781</v>
      </c>
      <c r="J32" s="4">
        <f>[1]INPUTS!AI16</f>
        <v>40030.400000000001</v>
      </c>
      <c r="K32" s="4">
        <f>[2]GEOMETRY_PROCESSING!AA16</f>
        <v>1502.2273017098478</v>
      </c>
      <c r="L32" s="4">
        <f>[2]GEOMETRY_PROCESSING!AB16</f>
        <v>335.84566581920473</v>
      </c>
      <c r="M32" s="4">
        <f>[1]INPUTS!AI15</f>
        <v>40030.400000000001</v>
      </c>
      <c r="N32" s="4">
        <f>[1]INPUTS!AJ16</f>
        <v>1580.3</v>
      </c>
      <c r="O32" s="4">
        <f>[1]INPUTS!AK16</f>
        <v>353.3</v>
      </c>
      <c r="P32" s="4">
        <v>1.6</v>
      </c>
      <c r="Q32" s="4">
        <f>P32</f>
        <v>1.6</v>
      </c>
      <c r="R32" s="3">
        <v>43692.031029999998</v>
      </c>
      <c r="S32" s="3">
        <f>R32*P32</f>
        <v>69907.249647999997</v>
      </c>
      <c r="T32" s="1"/>
    </row>
    <row r="33" spans="1:20" ht="15" x14ac:dyDescent="0.25">
      <c r="A33" s="7"/>
      <c r="B33" s="3" t="s">
        <v>6</v>
      </c>
      <c r="C33" s="3">
        <f>S33*0.00283</f>
        <v>197.75062640256002</v>
      </c>
      <c r="D33" s="4">
        <f>[1]INPUTS!T17</f>
        <v>39604.400000000001</v>
      </c>
      <c r="E33" s="4">
        <f>[1]INPUTS!U17</f>
        <v>1662.3</v>
      </c>
      <c r="F33" s="4">
        <f>[1]INPUTS!V17</f>
        <v>192</v>
      </c>
      <c r="G33" s="4">
        <f>[1]INPUTS!T17</f>
        <v>39604.400000000001</v>
      </c>
      <c r="H33" s="4">
        <f>[2]GEOMETRY_PROCESSING!M17</f>
        <v>1538.1255523483728</v>
      </c>
      <c r="I33" s="4">
        <f>[2]GEOMETRY_PROCESSING!N17</f>
        <v>177.65752634956843</v>
      </c>
      <c r="J33" s="4">
        <f>[1]INPUTS!AI17</f>
        <v>40030.400000000001</v>
      </c>
      <c r="K33" s="4">
        <f>[2]GEOMETRY_PROCESSING!AA17</f>
        <v>1502.8783395341814</v>
      </c>
      <c r="L33" s="4">
        <f>[2]GEOMETRY_PROCESSING!AB17</f>
        <v>181.69792476324901</v>
      </c>
      <c r="M33" s="4">
        <f>[1]INPUTS!AI16</f>
        <v>40030.400000000001</v>
      </c>
      <c r="N33" s="4">
        <f>[1]INPUTS!AJ17</f>
        <v>1582.3</v>
      </c>
      <c r="O33" s="4">
        <f>[1]INPUTS!AK17</f>
        <v>191.3</v>
      </c>
      <c r="P33" s="4">
        <v>1.6</v>
      </c>
      <c r="Q33" s="4">
        <f>P33</f>
        <v>1.6</v>
      </c>
      <c r="R33" s="3">
        <v>43672.841520000002</v>
      </c>
      <c r="S33" s="3">
        <f>R33*P33</f>
        <v>69876.546432000003</v>
      </c>
      <c r="T33" s="1"/>
    </row>
    <row r="34" spans="1:20" ht="15" x14ac:dyDescent="0.25">
      <c r="A34" s="7"/>
      <c r="B34" s="3" t="s">
        <v>5</v>
      </c>
      <c r="C34" s="3">
        <f>S34*0.00283</f>
        <v>197.71856694000002</v>
      </c>
      <c r="D34" s="4">
        <f>[1]INPUTS!T18</f>
        <v>39604.400000000001</v>
      </c>
      <c r="E34" s="4">
        <f>[1]INPUTS!U18</f>
        <v>1652.9</v>
      </c>
      <c r="F34" s="4">
        <f>[1]INPUTS!V18</f>
        <v>50.8</v>
      </c>
      <c r="G34" s="4">
        <f>[1]INPUTS!T18</f>
        <v>39604.400000000001</v>
      </c>
      <c r="H34" s="4">
        <f>[2]GEOMETRY_PROCESSING!M18</f>
        <v>1527.9589938513384</v>
      </c>
      <c r="I34" s="4">
        <f>[2]GEOMETRY_PROCESSING!N18</f>
        <v>46.960080396665241</v>
      </c>
      <c r="J34" s="4">
        <f>[1]INPUTS!AI18</f>
        <v>40030.400000000001</v>
      </c>
      <c r="K34" s="4">
        <f>[2]GEOMETRY_PROCESSING!AA18</f>
        <v>1484.2419903325358</v>
      </c>
      <c r="L34" s="4">
        <f>[2]GEOMETRY_PROCESSING!AB18</f>
        <v>48.108342225968272</v>
      </c>
      <c r="M34" s="4">
        <f>[1]INPUTS!AI17</f>
        <v>40030.400000000001</v>
      </c>
      <c r="N34" s="4">
        <f>[1]INPUTS!AJ18</f>
        <v>1564.2</v>
      </c>
      <c r="O34" s="4">
        <f>[1]INPUTS!AK18</f>
        <v>50.7</v>
      </c>
      <c r="P34" s="4">
        <v>1.6</v>
      </c>
      <c r="Q34" s="4">
        <f>P34</f>
        <v>1.6</v>
      </c>
      <c r="R34" s="3">
        <v>43665.761250000003</v>
      </c>
      <c r="S34" s="3">
        <f>R34*P34</f>
        <v>69865.218000000008</v>
      </c>
      <c r="T34" s="1"/>
    </row>
    <row r="35" spans="1:20" ht="15" x14ac:dyDescent="0.25">
      <c r="A35" s="7"/>
      <c r="B35" s="3" t="s">
        <v>4</v>
      </c>
      <c r="C35" s="3">
        <f>S35*0.00283</f>
        <v>197.74846939919999</v>
      </c>
      <c r="D35" s="4">
        <f>[1]INPUTS!T19</f>
        <v>39604.400000000001</v>
      </c>
      <c r="E35" s="4">
        <f>[1]INPUTS!U19</f>
        <v>1627.9</v>
      </c>
      <c r="F35" s="4">
        <f>[1]INPUTS!V19</f>
        <v>-89.9</v>
      </c>
      <c r="G35" s="4">
        <f>[1]INPUTS!T19</f>
        <v>39604.400000000001</v>
      </c>
      <c r="H35" s="4">
        <f>[2]GEOMETRY_PROCESSING!M19</f>
        <v>1503.090174364565</v>
      </c>
      <c r="I35" s="4">
        <f>[2]GEOMETRY_PROCESSING!N19</f>
        <v>-83.007436989602795</v>
      </c>
      <c r="J35" s="4">
        <f>[1]INPUTS!AI19</f>
        <v>40030.400000000001</v>
      </c>
      <c r="K35" s="4">
        <f>[2]GEOMETRY_PROCESSING!AA19</f>
        <v>1466.0352321430455</v>
      </c>
      <c r="L35" s="4">
        <f>[2]GEOMETRY_PROCESSING!AB19</f>
        <v>-85.350391935360676</v>
      </c>
      <c r="M35" s="4">
        <f>[1]INPUTS!AI18</f>
        <v>40030.400000000001</v>
      </c>
      <c r="N35" s="4">
        <f>[1]INPUTS!AJ19</f>
        <v>1545.9</v>
      </c>
      <c r="O35" s="4">
        <f>[1]INPUTS!AK19</f>
        <v>-90</v>
      </c>
      <c r="P35" s="4">
        <v>1.6</v>
      </c>
      <c r="Q35" s="4">
        <f>P35</f>
        <v>1.6</v>
      </c>
      <c r="R35" s="3">
        <v>43672.365149999998</v>
      </c>
      <c r="S35" s="3">
        <f>R35*P35</f>
        <v>69875.784239999994</v>
      </c>
      <c r="T35" s="1"/>
    </row>
    <row r="36" spans="1:20" ht="15" x14ac:dyDescent="0.25">
      <c r="A36" s="7"/>
      <c r="B36" s="3" t="s">
        <v>3</v>
      </c>
      <c r="C36" s="3">
        <f>S36*0.00283</f>
        <v>197.84453436048</v>
      </c>
      <c r="D36" s="4">
        <f>[1]INPUTS!T20</f>
        <v>39604.400000000001</v>
      </c>
      <c r="E36" s="4">
        <f>[1]INPUTS!U20</f>
        <v>1584.6</v>
      </c>
      <c r="F36" s="4">
        <f>[1]INPUTS!V20</f>
        <v>-230.5</v>
      </c>
      <c r="G36" s="4">
        <f>[1]INPUTS!T20</f>
        <v>39604.400000000001</v>
      </c>
      <c r="H36" s="4">
        <f>[2]GEOMETRY_PROCESSING!M20</f>
        <v>1460.9018366119258</v>
      </c>
      <c r="I36" s="4">
        <f>[2]GEOMETRY_PROCESSING!N20</f>
        <v>-212.50654634548081</v>
      </c>
      <c r="J36" s="4">
        <f>[1]INPUTS!AI20</f>
        <v>40030.400000000001</v>
      </c>
      <c r="K36" s="4">
        <f>[2]GEOMETRY_PROCESSING!AA20</f>
        <v>1410.0383222261371</v>
      </c>
      <c r="L36" s="4">
        <f>[2]GEOMETRY_PROCESSING!AB20</f>
        <v>-217.88316294690361</v>
      </c>
      <c r="M36" s="4">
        <f>[1]INPUTS!AI19</f>
        <v>40030.400000000001</v>
      </c>
      <c r="N36" s="4">
        <f>[1]INPUTS!AJ20</f>
        <v>1489.1</v>
      </c>
      <c r="O36" s="4">
        <f>[1]INPUTS!AK20</f>
        <v>-230.1</v>
      </c>
      <c r="P36" s="4">
        <v>1.6</v>
      </c>
      <c r="Q36" s="4">
        <f>P36</f>
        <v>1.6</v>
      </c>
      <c r="R36" s="3">
        <v>43693.580909999997</v>
      </c>
      <c r="S36" s="3">
        <f>R36*P36</f>
        <v>69909.729456000001</v>
      </c>
      <c r="T36" s="1"/>
    </row>
    <row r="37" spans="1:20" ht="15" x14ac:dyDescent="0.25">
      <c r="A37" s="7"/>
      <c r="B37" s="3" t="s">
        <v>2</v>
      </c>
      <c r="C37" s="3">
        <f>S37*0.00283</f>
        <v>198.34260851936</v>
      </c>
      <c r="D37" s="4">
        <f>[1]INPUTS!T21</f>
        <v>39604.400000000001</v>
      </c>
      <c r="E37" s="4">
        <f>[1]INPUTS!U21</f>
        <v>1531</v>
      </c>
      <c r="F37" s="4">
        <f>[1]INPUTS!V21</f>
        <v>-357.2</v>
      </c>
      <c r="G37" s="4">
        <f>[1]INPUTS!T21</f>
        <v>39604.400000000001</v>
      </c>
      <c r="H37" s="4">
        <f>[2]GEOMETRY_PROCESSING!M21</f>
        <v>1409.2692623232501</v>
      </c>
      <c r="I37" s="4">
        <f>[2]GEOMETRY_PROCESSING!N21</f>
        <v>-328.7988115622893</v>
      </c>
      <c r="J37" s="5">
        <v>40030.199999999997</v>
      </c>
      <c r="K37" s="5">
        <v>1354.4</v>
      </c>
      <c r="L37" s="5">
        <v>-352.1</v>
      </c>
      <c r="M37" s="4">
        <f>[1]INPUTS!AI20</f>
        <v>40030.400000000001</v>
      </c>
      <c r="N37" s="4">
        <f>[1]INPUTS!AJ21</f>
        <v>1432.3</v>
      </c>
      <c r="O37" s="4">
        <f>[1]INPUTS!AK21</f>
        <v>-370.3</v>
      </c>
      <c r="P37" s="4">
        <v>1.6</v>
      </c>
      <c r="Q37" s="4">
        <f>P37</f>
        <v>1.6</v>
      </c>
      <c r="R37" s="3">
        <v>43803.579619999997</v>
      </c>
      <c r="S37" s="3">
        <f>R37*P37</f>
        <v>70085.727392000001</v>
      </c>
      <c r="T37" s="1"/>
    </row>
    <row r="38" spans="1:20" ht="15" x14ac:dyDescent="0.25">
      <c r="A38" s="7"/>
      <c r="B38" s="3" t="s">
        <v>1</v>
      </c>
      <c r="C38" s="3">
        <f>S38*0.00283</f>
        <v>198.27229542608003</v>
      </c>
      <c r="D38" s="4">
        <f>[1]INPUTS!T22</f>
        <v>39604.400000000001</v>
      </c>
      <c r="E38" s="4">
        <f>[1]INPUTS!U22</f>
        <v>1452.8</v>
      </c>
      <c r="F38" s="4">
        <f>[1]INPUTS!V22</f>
        <v>-508.5</v>
      </c>
      <c r="G38" s="4">
        <f>[1]INPUTS!T22</f>
        <v>39604.400000000001</v>
      </c>
      <c r="H38" s="4">
        <f>[2]GEOMETRY_PROCESSING!M22</f>
        <v>1334.8182118947632</v>
      </c>
      <c r="I38" s="4">
        <f>[2]GEOMETRY_PROCESSING!N22</f>
        <v>-467.20474996454232</v>
      </c>
      <c r="J38" s="5">
        <v>40030.300000000003</v>
      </c>
      <c r="K38" s="5">
        <v>1282.5999999999999</v>
      </c>
      <c r="L38" s="5">
        <v>-482</v>
      </c>
      <c r="M38" s="4">
        <f>[1]INPUTS!AI21</f>
        <v>40030.400000000001</v>
      </c>
      <c r="N38" s="4">
        <f>[1]INPUTS!AJ22</f>
        <v>1358.1</v>
      </c>
      <c r="O38" s="4">
        <f>[1]INPUTS!AK22</f>
        <v>-508.5</v>
      </c>
      <c r="P38" s="4">
        <v>1.6</v>
      </c>
      <c r="Q38" s="4">
        <f>P38</f>
        <v>1.6</v>
      </c>
      <c r="R38" s="3">
        <v>43788.05111</v>
      </c>
      <c r="S38" s="3">
        <f>R38*P38</f>
        <v>70060.881776000009</v>
      </c>
      <c r="T38" s="1"/>
    </row>
    <row r="39" spans="1:20" ht="15" x14ac:dyDescent="0.25">
      <c r="A39" s="6"/>
      <c r="B39" s="3" t="s">
        <v>0</v>
      </c>
      <c r="C39" s="3">
        <f>S39*0.00283</f>
        <v>198.24451207087998</v>
      </c>
      <c r="D39" s="4">
        <f>[1]INPUTS!T23</f>
        <v>39604.400000000001</v>
      </c>
      <c r="E39" s="4">
        <f>[1]INPUTS!U23</f>
        <v>1391.2</v>
      </c>
      <c r="F39" s="4">
        <f>[1]INPUTS!V23</f>
        <v>-621.70000000000005</v>
      </c>
      <c r="G39" s="4">
        <f>[1]INPUTS!T23</f>
        <v>39604.400000000001</v>
      </c>
      <c r="H39" s="4">
        <f>[2]GEOMETRY_PROCESSING!M23</f>
        <v>1277.0769666860122</v>
      </c>
      <c r="I39" s="4">
        <f>[2]GEOMETRY_PROCESSING!N23</f>
        <v>-570.70065424719212</v>
      </c>
      <c r="J39" s="5">
        <v>40030.300000000003</v>
      </c>
      <c r="K39" s="5">
        <v>1218.5</v>
      </c>
      <c r="L39" s="5">
        <v>-579.79999999999995</v>
      </c>
      <c r="M39" s="4">
        <f>[1]INPUTS!AI22</f>
        <v>40030.400000000001</v>
      </c>
      <c r="N39" s="4">
        <f>[1]INPUTS!AJ23</f>
        <v>1291.5</v>
      </c>
      <c r="O39" s="4">
        <f>[1]INPUTS!AK23</f>
        <v>-612.5</v>
      </c>
      <c r="P39" s="4">
        <v>1.6</v>
      </c>
      <c r="Q39" s="4">
        <f>P39</f>
        <v>1.6</v>
      </c>
      <c r="R39" s="3">
        <v>43781.915209999999</v>
      </c>
      <c r="S39" s="3">
        <f>R39*P39</f>
        <v>70051.064335999996</v>
      </c>
      <c r="T39" s="1"/>
    </row>
    <row r="40" spans="1:2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"/>
      <c r="S41" s="1"/>
      <c r="T41" s="1"/>
    </row>
    <row r="42" spans="1:2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1"/>
      <c r="T42" s="1"/>
    </row>
    <row r="43" spans="1:2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  <c r="S43" s="1"/>
      <c r="T43" s="1"/>
    </row>
    <row r="44" spans="1:2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1"/>
      <c r="T44" s="1"/>
    </row>
    <row r="45" spans="1:2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"/>
      <c r="S45" s="1"/>
      <c r="T45" s="1"/>
    </row>
    <row r="46" spans="1:2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  <c r="S46" s="1"/>
      <c r="T46" s="1"/>
    </row>
    <row r="47" spans="1:2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"/>
      <c r="S47" s="1"/>
      <c r="T47" s="1"/>
    </row>
    <row r="48" spans="1:2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  <c r="S48" s="1"/>
      <c r="T48" s="1"/>
    </row>
    <row r="49" spans="1:2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  <c r="S49" s="1"/>
      <c r="T49" s="1"/>
    </row>
    <row r="50" spans="1:2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  <c r="S50" s="1"/>
      <c r="T50" s="1"/>
    </row>
    <row r="51" spans="1:2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"/>
      <c r="S51" s="1"/>
      <c r="T51" s="1"/>
    </row>
    <row r="52" spans="1:2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2"/>
      <c r="S52" s="1"/>
      <c r="T52" s="1"/>
    </row>
    <row r="53" spans="1:2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2"/>
      <c r="S53" s="1"/>
      <c r="T53" s="1"/>
    </row>
    <row r="54" spans="1:2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1"/>
      <c r="T54" s="1"/>
    </row>
    <row r="55" spans="1:2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2"/>
      <c r="S55" s="1"/>
      <c r="T55" s="1"/>
    </row>
    <row r="56" spans="1:2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2"/>
      <c r="S56" s="1"/>
      <c r="T56" s="1"/>
    </row>
    <row r="57" spans="1:2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"/>
      <c r="S57" s="1"/>
      <c r="T57" s="1"/>
    </row>
    <row r="58" spans="1:2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"/>
      <c r="S58" s="1"/>
      <c r="T58" s="1"/>
    </row>
    <row r="59" spans="1:2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  <c r="S59" s="1"/>
      <c r="T59" s="1"/>
    </row>
    <row r="60" spans="1:2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"/>
      <c r="S60" s="1"/>
      <c r="T60" s="1"/>
    </row>
    <row r="61" spans="1:2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"/>
      <c r="S61" s="1"/>
      <c r="T61" s="1"/>
    </row>
    <row r="62" spans="1:2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"/>
      <c r="S62" s="1"/>
      <c r="T62" s="1"/>
    </row>
    <row r="63" spans="1:2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"/>
      <c r="S63" s="1"/>
      <c r="T63" s="1"/>
    </row>
    <row r="64" spans="1:2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"/>
      <c r="S64" s="1"/>
      <c r="T64" s="1"/>
    </row>
    <row r="65" spans="1:2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"/>
      <c r="S65" s="1"/>
      <c r="T65" s="1"/>
    </row>
    <row r="66" spans="1:2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"/>
      <c r="S66" s="1"/>
      <c r="T66" s="1"/>
    </row>
    <row r="67" spans="1:20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"/>
      <c r="S67" s="1"/>
      <c r="T67" s="1"/>
    </row>
    <row r="68" spans="1:20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"/>
      <c r="S68" s="1"/>
      <c r="T68" s="1"/>
    </row>
    <row r="69" spans="1:20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"/>
      <c r="S69" s="1"/>
      <c r="T69" s="1"/>
    </row>
    <row r="70" spans="1:20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"/>
      <c r="S70" s="1"/>
      <c r="T70" s="1"/>
    </row>
    <row r="71" spans="1:20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"/>
      <c r="S71" s="1"/>
      <c r="T71" s="1"/>
    </row>
    <row r="72" spans="1:20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"/>
      <c r="S72" s="1"/>
      <c r="T72" s="1"/>
    </row>
    <row r="73" spans="1:20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"/>
      <c r="S73" s="1"/>
      <c r="T73" s="1"/>
    </row>
    <row r="74" spans="1:20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"/>
      <c r="S74" s="1"/>
      <c r="T74" s="1"/>
    </row>
    <row r="75" spans="1:20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2"/>
      <c r="S75" s="1"/>
      <c r="T75" s="1"/>
    </row>
    <row r="76" spans="1:20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2"/>
      <c r="S76" s="1"/>
      <c r="T76" s="1"/>
    </row>
    <row r="77" spans="1:20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</sheetData>
  <mergeCells count="2">
    <mergeCell ref="A4:A21"/>
    <mergeCell ref="A22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DOOR_INTERCOSTALS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2026-03-17T15:56:17Z</dcterms:created>
  <dcterms:modified xsi:type="dcterms:W3CDTF">2026-03-17T15:56:35Z</dcterms:modified>
</cp:coreProperties>
</file>