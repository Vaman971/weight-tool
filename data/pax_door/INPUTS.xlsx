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923C518F-FCC4-42DC-95D5-E48C5F9ABCD2}" xr6:coauthVersionLast="47" xr6:coauthVersionMax="47" xr10:uidLastSave="{00000000-0000-0000-0000-000000000000}"/>
  <bookViews>
    <workbookView xWindow="-108" yWindow="-108" windowWidth="23256" windowHeight="12456" xr2:uid="{82E83D26-3EAD-499C-A2E0-4DAA38D1DEA2}"/>
  </bookViews>
  <sheets>
    <sheet name="INPUTS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" l="1"/>
  <c r="T6" i="2"/>
  <c r="AD6" i="2"/>
  <c r="AI6" i="2"/>
  <c r="O7" i="2"/>
  <c r="T7" i="2"/>
  <c r="AD7" i="2"/>
  <c r="AI7" i="2"/>
  <c r="O8" i="2"/>
  <c r="T8" i="2"/>
  <c r="AD8" i="2"/>
  <c r="AI8" i="2"/>
  <c r="O9" i="2"/>
  <c r="T9" i="2"/>
  <c r="AD9" i="2"/>
  <c r="AI9" i="2"/>
  <c r="O10" i="2"/>
  <c r="T10" i="2"/>
  <c r="AD10" i="2"/>
  <c r="AI10" i="2"/>
  <c r="C11" i="2"/>
  <c r="O11" i="2"/>
  <c r="T11" i="2"/>
  <c r="AD11" i="2"/>
  <c r="AI11" i="2"/>
  <c r="O12" i="2"/>
  <c r="T12" i="2"/>
  <c r="AD12" i="2"/>
  <c r="AI12" i="2"/>
  <c r="O13" i="2"/>
  <c r="T13" i="2"/>
  <c r="AD13" i="2"/>
  <c r="AI13" i="2"/>
  <c r="O14" i="2"/>
  <c r="T14" i="2"/>
  <c r="AD14" i="2"/>
  <c r="AI14" i="2"/>
  <c r="O15" i="2"/>
  <c r="T15" i="2"/>
  <c r="AD15" i="2"/>
  <c r="AI15" i="2"/>
  <c r="O16" i="2"/>
  <c r="T16" i="2"/>
  <c r="AD16" i="2"/>
  <c r="AI16" i="2"/>
  <c r="B17" i="2"/>
  <c r="O17" i="2"/>
  <c r="T17" i="2"/>
  <c r="AD17" i="2"/>
  <c r="AI17" i="2"/>
  <c r="O18" i="2"/>
  <c r="T18" i="2"/>
  <c r="AD18" i="2"/>
  <c r="AI18" i="2"/>
  <c r="O19" i="2"/>
  <c r="T19" i="2"/>
  <c r="AD19" i="2"/>
  <c r="AI19" i="2"/>
  <c r="O20" i="2"/>
  <c r="T20" i="2"/>
  <c r="AD20" i="2"/>
  <c r="AI20" i="2"/>
  <c r="O21" i="2"/>
  <c r="T21" i="2"/>
  <c r="AD21" i="2"/>
  <c r="AI21" i="2"/>
  <c r="O22" i="2"/>
  <c r="T22" i="2"/>
  <c r="AD22" i="2"/>
  <c r="AI22" i="2"/>
  <c r="O23" i="2"/>
  <c r="T23" i="2"/>
  <c r="AD23" i="2"/>
  <c r="AF23" i="2"/>
  <c r="AI23" i="2"/>
</calcChain>
</file>

<file path=xl/sharedStrings.xml><?xml version="1.0" encoding="utf-8"?>
<sst xmlns="http://schemas.openxmlformats.org/spreadsheetml/2006/main" count="200" uniqueCount="40">
  <si>
    <t>Inputs Required by Mass Enrichment Function</t>
  </si>
  <si>
    <t>Reference: SA_XLR_DMU</t>
  </si>
  <si>
    <t>NODE COORDINATES MEASURED FROM MGY</t>
  </si>
  <si>
    <t>Input</t>
  </si>
  <si>
    <t>Value</t>
  </si>
  <si>
    <t>Units</t>
  </si>
  <si>
    <t>Description</t>
  </si>
  <si>
    <t>Source</t>
  </si>
  <si>
    <t>Remarks</t>
  </si>
  <si>
    <t>FWD CUT-OUT FRAME</t>
  </si>
  <si>
    <t>SECTION COORDINATES AT APERTURE_FWD_DATUM</t>
  </si>
  <si>
    <t>SECTION COORDINATES AT APERTURE_AFT_DATUM</t>
  </si>
  <si>
    <t>SECTION COORDINATES AT CUT-OUT_FWD_DATUM</t>
  </si>
  <si>
    <t>SECTION COORDINATES AT CUT-OUT_AFT_DATUM</t>
  </si>
  <si>
    <t>CUT-OUT_FWD_FRAME_DATUM</t>
  </si>
  <si>
    <t>mm</t>
  </si>
  <si>
    <t>Longitudinal location of Datum in A/C Axis System</t>
  </si>
  <si>
    <t>A321 XLR DBD Conf 1.12 – Ref D0010D19018586 issue 1.12 – 19 May 2023</t>
  </si>
  <si>
    <t>NODE</t>
  </si>
  <si>
    <t>Y</t>
  </si>
  <si>
    <t>Z</t>
  </si>
  <si>
    <t>CUT-OUT_AFT_FRAME_DATUM</t>
  </si>
  <si>
    <t>N/A</t>
  </si>
  <si>
    <t>CUT-OUT_TOP_STRINGER_DATUM</t>
  </si>
  <si>
    <t>Vertical location of Datum in A/C Axis System</t>
  </si>
  <si>
    <t>A321_XLR_MGY_TREND</t>
  </si>
  <si>
    <t>CUT-OUT_BTM_STRINGER_DATUM</t>
  </si>
  <si>
    <t>APERTURE_FWD_DATUM</t>
  </si>
  <si>
    <t>FWD_APERTURE is curved when viewed side-on; this is ignored in this case</t>
  </si>
  <si>
    <t>APERTURE_AFT_DATUM</t>
  </si>
  <si>
    <t>AFT_APERTURE is curved when viewed side-on; this is ignored in this case</t>
  </si>
  <si>
    <t>APERTURE_TOP_DATUM</t>
  </si>
  <si>
    <t>Lintel is not aligned horizontally, so an average position is taken at the middle position</t>
  </si>
  <si>
    <t>APERTURE_BTM_DATUM</t>
  </si>
  <si>
    <t>AFT CUT-OUT FRAME</t>
  </si>
  <si>
    <t>SECTION COORDINATES - FWD CUTOUT FRAME</t>
  </si>
  <si>
    <t>SECTION COORDINATES - AFT CUTOUT FRAME</t>
  </si>
  <si>
    <t>SECTION COORDINATES - FWD DOOR FRAME</t>
  </si>
  <si>
    <t>SECTION COORDINATES - AFT DOOR FRAME</t>
  </si>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</sst>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i/>
      <sz val="12"/>
      <color rgb="FF000000"/>
      <name val="Aptos Narrow"/>
      <family val="2"/>
      <scheme val="minor"/>
    </font>
    <font>
      <i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168" fontId="2" fillId="0" borderId="1" xfId="1" applyNumberFormat="1" applyFont="1" applyBorder="1" applyAlignment="1">
      <alignment horizontal="left"/>
    </xf>
    <xf numFmtId="168" fontId="2" fillId="0" borderId="2" xfId="1" applyNumberFormat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0" borderId="0" xfId="1" applyFont="1"/>
    <xf numFmtId="168" fontId="2" fillId="0" borderId="0" xfId="1" applyNumberFormat="1" applyFont="1" applyAlignment="1">
      <alignment horizontal="left"/>
    </xf>
    <xf numFmtId="1" fontId="2" fillId="0" borderId="2" xfId="1" applyNumberFormat="1" applyFont="1" applyBorder="1" applyAlignment="1">
      <alignment horizontal="left"/>
    </xf>
    <xf numFmtId="0" fontId="3" fillId="0" borderId="0" xfId="1" applyFont="1" applyAlignment="1">
      <alignment horizontal="left"/>
    </xf>
    <xf numFmtId="168" fontId="4" fillId="0" borderId="0" xfId="1" applyNumberFormat="1" applyFont="1" applyAlignment="1">
      <alignment horizontal="left"/>
    </xf>
    <xf numFmtId="168" fontId="4" fillId="0" borderId="2" xfId="1" applyNumberFormat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1" fontId="2" fillId="0" borderId="0" xfId="1" applyNumberFormat="1" applyFont="1" applyAlignment="1">
      <alignment horizontal="left"/>
    </xf>
    <xf numFmtId="0" fontId="3" fillId="3" borderId="2" xfId="1" applyFont="1" applyFill="1" applyBorder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 xr:uid="{84884767-AAD8-4BB6-9BE9-C17AEB4C7F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PROBOT_PAX_DOOR_SURROUND_VALIDATION.xlsx" TargetMode="External"/><Relationship Id="rId1" Type="http://schemas.openxmlformats.org/officeDocument/2006/relationships/externalLinkPath" Target="PROBOT_PAX_DOOR_SURROUND_VA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OR_SILL (2)"/>
      <sheetName val="GEOMETRY_PROCESSING"/>
      <sheetName val="DOOR_FRAMES"/>
      <sheetName val="DOOR_LINTEL"/>
      <sheetName val="DOOR_INTERCOSTALS"/>
      <sheetName val="DOOR_SILL"/>
    </sheetNames>
    <sheetDataSet>
      <sheetData sheetId="0"/>
      <sheetData sheetId="1"/>
      <sheetData sheetId="2">
        <row r="4">
          <cell r="C4">
            <v>422.96401750000001</v>
          </cell>
        </row>
        <row r="5">
          <cell r="C5">
            <v>135.12740600000001</v>
          </cell>
        </row>
        <row r="6">
          <cell r="C6">
            <v>311.99228875</v>
          </cell>
        </row>
        <row r="7">
          <cell r="C7">
            <v>243.6665375</v>
          </cell>
        </row>
        <row r="8">
          <cell r="C8">
            <v>256.83707449999997</v>
          </cell>
        </row>
        <row r="9">
          <cell r="C9">
            <v>215.18895499999999</v>
          </cell>
        </row>
        <row r="10">
          <cell r="C10">
            <v>244.51192924999998</v>
          </cell>
        </row>
        <row r="11">
          <cell r="C11">
            <v>267.73023975000001</v>
          </cell>
        </row>
        <row r="12">
          <cell r="C12">
            <v>275.97282700000005</v>
          </cell>
        </row>
        <row r="13">
          <cell r="C13">
            <v>276.15323950000004</v>
          </cell>
        </row>
        <row r="14">
          <cell r="C14">
            <v>278.64887500000003</v>
          </cell>
        </row>
        <row r="15">
          <cell r="C15">
            <v>237.47251649999998</v>
          </cell>
        </row>
        <row r="16">
          <cell r="C16">
            <v>254.85352750000001</v>
          </cell>
        </row>
        <row r="17">
          <cell r="C17">
            <v>229.63645875</v>
          </cell>
        </row>
        <row r="18">
          <cell r="C18">
            <v>264.10005725000002</v>
          </cell>
        </row>
        <row r="19">
          <cell r="C19">
            <v>237.76457250000001</v>
          </cell>
        </row>
        <row r="20">
          <cell r="C20">
            <v>228.00758150000001</v>
          </cell>
        </row>
        <row r="21">
          <cell r="C21">
            <v>211.88817035000002</v>
          </cell>
        </row>
        <row r="22">
          <cell r="C22">
            <v>67.102427135850007</v>
          </cell>
        </row>
        <row r="23">
          <cell r="C23">
            <v>155.11776006049999</v>
          </cell>
        </row>
        <row r="24">
          <cell r="C24">
            <v>121.17561996409999</v>
          </cell>
        </row>
        <row r="25">
          <cell r="C25">
            <v>127.7750359171</v>
          </cell>
        </row>
        <row r="26">
          <cell r="C26">
            <v>107.0446256215</v>
          </cell>
        </row>
        <row r="27">
          <cell r="C27">
            <v>121.72516589130001</v>
          </cell>
        </row>
        <row r="28">
          <cell r="C28">
            <v>133.38027782259999</v>
          </cell>
        </row>
        <row r="29">
          <cell r="C29">
            <v>137.63211770619998</v>
          </cell>
        </row>
        <row r="30">
          <cell r="C30">
            <v>137.84293511775002</v>
          </cell>
        </row>
        <row r="31">
          <cell r="C31">
            <v>139.2533154116</v>
          </cell>
        </row>
        <row r="32">
          <cell r="C32">
            <v>118.94114276465001</v>
          </cell>
        </row>
        <row r="33">
          <cell r="C33">
            <v>127.99389519815</v>
          </cell>
        </row>
        <row r="34">
          <cell r="C34">
            <v>115.62036607490001</v>
          </cell>
        </row>
        <row r="35">
          <cell r="C35">
            <v>133.0306062205</v>
          </cell>
        </row>
        <row r="36">
          <cell r="C36">
            <v>119.97844994585</v>
          </cell>
        </row>
        <row r="37">
          <cell r="C37">
            <v>113.96986246015</v>
          </cell>
        </row>
        <row r="38">
          <cell r="C38">
            <v>198.37569477950004</v>
          </cell>
        </row>
        <row r="39">
          <cell r="C39">
            <v>62.770044334399991</v>
          </cell>
        </row>
        <row r="40">
          <cell r="C40">
            <v>145.04483578449998</v>
          </cell>
        </row>
        <row r="41">
          <cell r="C41">
            <v>113.24186564745</v>
          </cell>
        </row>
        <row r="42">
          <cell r="C42">
            <v>119.39753566190001</v>
          </cell>
        </row>
        <row r="43">
          <cell r="C43">
            <v>100.03731370300001</v>
          </cell>
        </row>
        <row r="44">
          <cell r="C44">
            <v>113.6519297184</v>
          </cell>
        </row>
        <row r="45">
          <cell r="C45">
            <v>124.53565406009999</v>
          </cell>
        </row>
        <row r="46">
          <cell r="C46">
            <v>128.51319477870001</v>
          </cell>
        </row>
        <row r="47">
          <cell r="C47">
            <v>128.53212299315001</v>
          </cell>
        </row>
        <row r="48">
          <cell r="C48">
            <v>129.85939995495002</v>
          </cell>
        </row>
        <row r="49">
          <cell r="C49">
            <v>110.92297907095001</v>
          </cell>
        </row>
        <row r="50">
          <cell r="C50">
            <v>119.24174019990001</v>
          </cell>
        </row>
        <row r="51">
          <cell r="C51">
            <v>107.69617707335</v>
          </cell>
        </row>
        <row r="52">
          <cell r="C52">
            <v>123.83089201435</v>
          </cell>
        </row>
        <row r="53">
          <cell r="C53">
            <v>111.48052153105</v>
          </cell>
        </row>
        <row r="54">
          <cell r="C54">
            <v>105.80556693375001</v>
          </cell>
        </row>
        <row r="55">
          <cell r="C55">
            <v>316.89094799999998</v>
          </cell>
        </row>
        <row r="56">
          <cell r="C56">
            <v>210.8181615</v>
          </cell>
        </row>
        <row r="57">
          <cell r="C57">
            <v>246.16663025000003</v>
          </cell>
        </row>
        <row r="58">
          <cell r="C58">
            <v>295.87968375000003</v>
          </cell>
        </row>
        <row r="59">
          <cell r="C59">
            <v>213.15800550000003</v>
          </cell>
        </row>
        <row r="60">
          <cell r="C60">
            <v>242.23795350000003</v>
          </cell>
        </row>
        <row r="61">
          <cell r="C61">
            <v>221.17638600000001</v>
          </cell>
        </row>
        <row r="62">
          <cell r="C62">
            <v>267.25048399999997</v>
          </cell>
        </row>
        <row r="63">
          <cell r="C63">
            <v>268.51825324999999</v>
          </cell>
        </row>
        <row r="64">
          <cell r="C64">
            <v>265.40815399999997</v>
          </cell>
        </row>
        <row r="65">
          <cell r="C65">
            <v>272.88331600000004</v>
          </cell>
        </row>
        <row r="66">
          <cell r="C66">
            <v>238.34734024999997</v>
          </cell>
        </row>
        <row r="67">
          <cell r="C67">
            <v>239.66024799999997</v>
          </cell>
        </row>
        <row r="68">
          <cell r="C68">
            <v>244.96763000000001</v>
          </cell>
        </row>
        <row r="69">
          <cell r="C69">
            <v>228.21643550000002</v>
          </cell>
        </row>
        <row r="70">
          <cell r="C70">
            <v>283.29814050000004</v>
          </cell>
        </row>
        <row r="71">
          <cell r="C71">
            <v>216.87513974999999</v>
          </cell>
        </row>
        <row r="72">
          <cell r="C72">
            <v>160.65148517750001</v>
          </cell>
        </row>
        <row r="73">
          <cell r="C73">
            <v>105.11607481805</v>
          </cell>
        </row>
        <row r="74">
          <cell r="C74">
            <v>122.86693270240001</v>
          </cell>
        </row>
        <row r="75">
          <cell r="C75">
            <v>147.94837800399998</v>
          </cell>
        </row>
        <row r="76">
          <cell r="C76">
            <v>106.78476166390001</v>
          </cell>
        </row>
        <row r="77">
          <cell r="C77">
            <v>121.65693057270001</v>
          </cell>
        </row>
        <row r="78">
          <cell r="C78">
            <v>111.56603012254999</v>
          </cell>
        </row>
        <row r="79">
          <cell r="C79">
            <v>135.55236202619997</v>
          </cell>
        </row>
        <row r="80">
          <cell r="C80">
            <v>136.58845407615001</v>
          </cell>
        </row>
        <row r="81">
          <cell r="C81">
            <v>134.90300103679999</v>
          </cell>
        </row>
        <row r="82">
          <cell r="C82">
            <v>137.96344042315002</v>
          </cell>
        </row>
        <row r="83">
          <cell r="C83">
            <v>120.14414953055</v>
          </cell>
        </row>
        <row r="84">
          <cell r="C84">
            <v>121.32530821535001</v>
          </cell>
        </row>
        <row r="85">
          <cell r="C85">
            <v>124.9018664462</v>
          </cell>
        </row>
        <row r="86">
          <cell r="C86">
            <v>116.79799487240001</v>
          </cell>
        </row>
        <row r="87">
          <cell r="C87">
            <v>144.59676400700002</v>
          </cell>
        </row>
        <row r="88">
          <cell r="C88">
            <v>109.41498822829999</v>
          </cell>
        </row>
        <row r="89">
          <cell r="C89">
            <v>150.58900416750001</v>
          </cell>
        </row>
        <row r="90">
          <cell r="C90">
            <v>98.13007758225001</v>
          </cell>
        </row>
        <row r="91">
          <cell r="C91">
            <v>114.7903572993</v>
          </cell>
        </row>
        <row r="92">
          <cell r="C92">
            <v>138.1601362479</v>
          </cell>
        </row>
        <row r="93">
          <cell r="C93">
            <v>99.638641443300003</v>
          </cell>
        </row>
        <row r="94">
          <cell r="C94">
            <v>113.43535990734999</v>
          </cell>
        </row>
        <row r="95">
          <cell r="C95">
            <v>104.07347989505</v>
          </cell>
        </row>
        <row r="96">
          <cell r="C96">
            <v>126.38077233174998</v>
          </cell>
        </row>
        <row r="97">
          <cell r="C97">
            <v>127.22102819775</v>
          </cell>
        </row>
        <row r="98">
          <cell r="C98">
            <v>125.4492524042</v>
          </cell>
        </row>
        <row r="99">
          <cell r="C99">
            <v>127.94982091964999</v>
          </cell>
        </row>
        <row r="100">
          <cell r="C100">
            <v>111.2951247077</v>
          </cell>
        </row>
        <row r="101">
          <cell r="C101">
            <v>112.3763352637</v>
          </cell>
        </row>
        <row r="102">
          <cell r="C102">
            <v>115.63582586965001</v>
          </cell>
        </row>
        <row r="103">
          <cell r="C103">
            <v>108.02086274695</v>
          </cell>
        </row>
        <row r="104">
          <cell r="C104">
            <v>133.44381497329999</v>
          </cell>
        </row>
        <row r="105">
          <cell r="C105">
            <v>100.60395655165</v>
          </cell>
        </row>
      </sheetData>
      <sheetData sheetId="3">
        <row r="4">
          <cell r="C4">
            <v>266.12541913008005</v>
          </cell>
        </row>
        <row r="5">
          <cell r="C5">
            <v>266.60020723392</v>
          </cell>
        </row>
        <row r="6">
          <cell r="C6">
            <v>1468.0626040024999</v>
          </cell>
        </row>
        <row r="7">
          <cell r="C7">
            <v>882.42598536750006</v>
          </cell>
        </row>
        <row r="8">
          <cell r="C8">
            <v>309.98337079999999</v>
          </cell>
        </row>
        <row r="9">
          <cell r="C9">
            <v>304.3116546</v>
          </cell>
        </row>
        <row r="10">
          <cell r="C10">
            <v>298.57162219999998</v>
          </cell>
        </row>
      </sheetData>
      <sheetData sheetId="4">
        <row r="4">
          <cell r="C4">
            <v>314.28172349952007</v>
          </cell>
        </row>
        <row r="5">
          <cell r="C5">
            <v>315.34670737888001</v>
          </cell>
        </row>
        <row r="6">
          <cell r="C6">
            <v>314.24058105008004</v>
          </cell>
        </row>
        <row r="7">
          <cell r="C7">
            <v>314.11653802960001</v>
          </cell>
        </row>
        <row r="8">
          <cell r="C8">
            <v>314.23294095568002</v>
          </cell>
        </row>
        <row r="9">
          <cell r="C9">
            <v>314.12850354128005</v>
          </cell>
        </row>
        <row r="10">
          <cell r="C10">
            <v>314.26272917344005</v>
          </cell>
        </row>
        <row r="11">
          <cell r="C11">
            <v>314.23174334496002</v>
          </cell>
        </row>
        <row r="12">
          <cell r="C12">
            <v>314.12960226048006</v>
          </cell>
        </row>
        <row r="13">
          <cell r="C13">
            <v>314.16860414320001</v>
          </cell>
        </row>
        <row r="14">
          <cell r="C14">
            <v>314.19735857328004</v>
          </cell>
        </row>
        <row r="15">
          <cell r="C15">
            <v>314.11329054800001</v>
          </cell>
        </row>
        <row r="16">
          <cell r="C16">
            <v>314.23920743600002</v>
          </cell>
        </row>
        <row r="17">
          <cell r="C17">
            <v>314.13585474927999</v>
          </cell>
        </row>
        <row r="18">
          <cell r="C18">
            <v>314.12544763936</v>
          </cell>
        </row>
        <row r="19">
          <cell r="C19">
            <v>314.35253983472001</v>
          </cell>
        </row>
        <row r="20">
          <cell r="C20">
            <v>314.29599435184002</v>
          </cell>
        </row>
        <row r="21">
          <cell r="C21">
            <v>314.28589763632004</v>
          </cell>
        </row>
        <row r="22">
          <cell r="C22">
            <v>198.15518386800002</v>
          </cell>
        </row>
        <row r="23">
          <cell r="C23">
            <v>200.09211877568004</v>
          </cell>
        </row>
        <row r="24">
          <cell r="C24">
            <v>198.18893050864</v>
          </cell>
        </row>
        <row r="25">
          <cell r="C25">
            <v>197.7275489072</v>
          </cell>
        </row>
        <row r="26">
          <cell r="C26">
            <v>198.52257256624003</v>
          </cell>
        </row>
        <row r="27">
          <cell r="C27">
            <v>197.81251374816</v>
          </cell>
        </row>
        <row r="28">
          <cell r="C28">
            <v>198.18101162527998</v>
          </cell>
        </row>
        <row r="29">
          <cell r="C29">
            <v>198.05627115696001</v>
          </cell>
        </row>
        <row r="30">
          <cell r="C30">
            <v>198.02359366768002</v>
          </cell>
        </row>
        <row r="31">
          <cell r="C31">
            <v>198.07775592832004</v>
          </cell>
        </row>
        <row r="32">
          <cell r="C32">
            <v>197.83751650383999</v>
          </cell>
        </row>
        <row r="33">
          <cell r="C33">
            <v>197.75062640256002</v>
          </cell>
        </row>
        <row r="34">
          <cell r="C34">
            <v>197.71856694000002</v>
          </cell>
        </row>
        <row r="35">
          <cell r="C35">
            <v>197.74846939919999</v>
          </cell>
        </row>
        <row r="36">
          <cell r="C36">
            <v>197.84453436048</v>
          </cell>
        </row>
        <row r="37">
          <cell r="C37">
            <v>198.34260851936</v>
          </cell>
        </row>
        <row r="38">
          <cell r="C38">
            <v>198.27229542608003</v>
          </cell>
        </row>
        <row r="39">
          <cell r="C39">
            <v>198.24451207087998</v>
          </cell>
        </row>
      </sheetData>
      <sheetData sheetId="5">
        <row r="5">
          <cell r="C5">
            <v>756.48776058250007</v>
          </cell>
        </row>
        <row r="6">
          <cell r="C6">
            <v>1074.6925000000001</v>
          </cell>
        </row>
        <row r="7">
          <cell r="C7">
            <v>859.40732500000001</v>
          </cell>
        </row>
        <row r="8">
          <cell r="C8">
            <v>185.19859600000001</v>
          </cell>
        </row>
        <row r="9">
          <cell r="C9">
            <v>186.46434180000003</v>
          </cell>
        </row>
        <row r="10">
          <cell r="C10">
            <v>185.86477800000003</v>
          </cell>
        </row>
        <row r="11">
          <cell r="C11">
            <v>226.50188</v>
          </cell>
        </row>
        <row r="12">
          <cell r="C12">
            <v>139.89822000000001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3B0B-2FF3-4704-9B06-185BF43C0376}">
  <sheetPr>
    <outlinePr summaryBelow="0" summaryRight="0"/>
  </sheetPr>
  <dimension ref="A1:AL1033"/>
  <sheetViews>
    <sheetView tabSelected="1" workbookViewId="0">
      <pane ySplit="4" topLeftCell="A5" activePane="bottomLeft" state="frozen"/>
      <selection pane="bottomLeft" activeCell="Z21" sqref="Z21"/>
    </sheetView>
  </sheetViews>
  <sheetFormatPr defaultColWidth="12.6640625" defaultRowHeight="15.75" customHeight="1" x14ac:dyDescent="0.3"/>
  <cols>
    <col min="1" max="1" width="12.6640625" style="1"/>
    <col min="2" max="2" width="55.77734375" style="1" customWidth="1"/>
    <col min="3" max="4" width="12.6640625" style="1"/>
    <col min="5" max="5" width="73.21875" style="1" customWidth="1"/>
    <col min="6" max="6" width="113" style="1" customWidth="1"/>
    <col min="7" max="7" width="82.109375" style="1" customWidth="1"/>
    <col min="8" max="18" width="12.6640625" style="1"/>
    <col min="19" max="22" width="16.6640625" style="1" customWidth="1"/>
    <col min="23" max="23" width="1.21875" style="1" customWidth="1"/>
    <col min="24" max="27" width="16.6640625" style="1" customWidth="1"/>
    <col min="28" max="28" width="1.33203125" style="1" customWidth="1"/>
    <col min="29" max="32" width="16.6640625" style="1" customWidth="1"/>
    <col min="33" max="33" width="1.77734375" style="1" customWidth="1"/>
    <col min="34" max="16384" width="12.6640625" style="1"/>
  </cols>
  <sheetData>
    <row r="1" spans="1:38" ht="15.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5.75" customHeight="1" x14ac:dyDescent="0.3">
      <c r="A2" s="2"/>
      <c r="B2" s="11" t="s">
        <v>0</v>
      </c>
      <c r="C2" s="18" t="s">
        <v>1</v>
      </c>
      <c r="D2" s="1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.75" customHeight="1" x14ac:dyDescent="0.3">
      <c r="A3" s="2"/>
      <c r="B3" s="2"/>
      <c r="C3" s="2"/>
      <c r="D3" s="2"/>
      <c r="E3" s="2"/>
      <c r="F3" s="2"/>
      <c r="G3" s="2"/>
      <c r="H3" s="2"/>
      <c r="I3" s="11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.75" customHeight="1" x14ac:dyDescent="0.3">
      <c r="A4" s="2"/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2"/>
      <c r="I4" s="11" t="s">
        <v>9</v>
      </c>
      <c r="J4" s="2"/>
      <c r="K4" s="2"/>
      <c r="L4" s="2"/>
      <c r="M4" s="2"/>
      <c r="N4" s="8" t="s">
        <v>10</v>
      </c>
      <c r="O4" s="2"/>
      <c r="P4" s="2"/>
      <c r="Q4" s="2"/>
      <c r="R4" s="2"/>
      <c r="S4" s="8" t="s">
        <v>11</v>
      </c>
      <c r="T4" s="2"/>
      <c r="U4" s="2"/>
      <c r="V4" s="2"/>
      <c r="W4" s="2"/>
      <c r="X4" s="8" t="s">
        <v>11</v>
      </c>
      <c r="Y4" s="2"/>
      <c r="Z4" s="2"/>
      <c r="AA4" s="2"/>
      <c r="AB4" s="2"/>
      <c r="AC4" s="8" t="s">
        <v>12</v>
      </c>
      <c r="AD4" s="2"/>
      <c r="AE4" s="2"/>
      <c r="AF4" s="2"/>
      <c r="AG4" s="2"/>
      <c r="AH4" s="8" t="s">
        <v>13</v>
      </c>
      <c r="AI4" s="11"/>
      <c r="AJ4" s="11"/>
      <c r="AK4" s="11"/>
      <c r="AL4" s="2"/>
    </row>
    <row r="5" spans="1:38" ht="15.75" customHeight="1" x14ac:dyDescent="0.3">
      <c r="A5" s="2"/>
      <c r="B5" s="5" t="s">
        <v>14</v>
      </c>
      <c r="C5" s="4">
        <v>37947.599999999999</v>
      </c>
      <c r="D5" s="5" t="s">
        <v>15</v>
      </c>
      <c r="E5" s="5" t="s">
        <v>16</v>
      </c>
      <c r="F5" s="5" t="s">
        <v>17</v>
      </c>
      <c r="G5" s="5"/>
      <c r="H5" s="2"/>
      <c r="I5" s="7" t="s">
        <v>18</v>
      </c>
      <c r="J5" s="7" t="s">
        <v>39</v>
      </c>
      <c r="K5" s="7" t="s">
        <v>19</v>
      </c>
      <c r="L5" s="6" t="s">
        <v>20</v>
      </c>
      <c r="M5" s="2"/>
      <c r="N5" s="7" t="s">
        <v>18</v>
      </c>
      <c r="O5" s="7" t="s">
        <v>39</v>
      </c>
      <c r="P5" s="7" t="s">
        <v>19</v>
      </c>
      <c r="Q5" s="7" t="s">
        <v>20</v>
      </c>
      <c r="R5" s="2"/>
      <c r="S5" s="7" t="s">
        <v>18</v>
      </c>
      <c r="T5" s="7" t="s">
        <v>39</v>
      </c>
      <c r="U5" s="7" t="s">
        <v>19</v>
      </c>
      <c r="V5" s="7" t="s">
        <v>20</v>
      </c>
      <c r="W5" s="2"/>
      <c r="X5" s="7" t="s">
        <v>18</v>
      </c>
      <c r="Y5" s="7" t="s">
        <v>39</v>
      </c>
      <c r="Z5" s="7" t="s">
        <v>19</v>
      </c>
      <c r="AA5" s="7" t="s">
        <v>20</v>
      </c>
      <c r="AB5" s="11"/>
      <c r="AC5" s="7" t="s">
        <v>18</v>
      </c>
      <c r="AD5" s="7" t="s">
        <v>39</v>
      </c>
      <c r="AE5" s="7" t="s">
        <v>19</v>
      </c>
      <c r="AF5" s="7" t="s">
        <v>20</v>
      </c>
      <c r="AG5" s="11"/>
      <c r="AH5" s="7" t="s">
        <v>18</v>
      </c>
      <c r="AI5" s="7" t="s">
        <v>39</v>
      </c>
      <c r="AJ5" s="7" t="s">
        <v>19</v>
      </c>
      <c r="AK5" s="7" t="s">
        <v>20</v>
      </c>
      <c r="AL5" s="11"/>
    </row>
    <row r="6" spans="1:38" ht="15.6" x14ac:dyDescent="0.3">
      <c r="A6" s="2"/>
      <c r="B6" s="5" t="s">
        <v>21</v>
      </c>
      <c r="C6" s="4">
        <v>40030.400000000001</v>
      </c>
      <c r="D6" s="5" t="s">
        <v>15</v>
      </c>
      <c r="E6" s="5" t="s">
        <v>16</v>
      </c>
      <c r="F6" s="5" t="s">
        <v>17</v>
      </c>
      <c r="G6" s="5"/>
      <c r="H6" s="2"/>
      <c r="I6" s="5" t="s">
        <v>22</v>
      </c>
      <c r="J6" s="4"/>
      <c r="K6" s="4"/>
      <c r="L6" s="3"/>
      <c r="M6" s="2"/>
      <c r="N6" s="5" t="s">
        <v>22</v>
      </c>
      <c r="O6" s="4">
        <f>$C$9</f>
        <v>38624.400000000001</v>
      </c>
      <c r="P6" s="4">
        <v>1037.8</v>
      </c>
      <c r="Q6" s="4">
        <v>1658.1</v>
      </c>
      <c r="R6" s="2"/>
      <c r="S6" s="5" t="s">
        <v>22</v>
      </c>
      <c r="T6" s="4">
        <f>$C$10</f>
        <v>39604.400000000001</v>
      </c>
      <c r="U6" s="4">
        <v>993.2</v>
      </c>
      <c r="V6" s="4">
        <v>1653.7</v>
      </c>
      <c r="W6" s="2"/>
      <c r="X6" s="14" t="s">
        <v>22</v>
      </c>
      <c r="Y6" s="13">
        <v>19973.7</v>
      </c>
      <c r="Z6" s="13">
        <v>1328.35</v>
      </c>
      <c r="AA6" s="13">
        <v>2069.0300000000002</v>
      </c>
      <c r="AB6" s="12"/>
      <c r="AC6" s="14" t="s">
        <v>22</v>
      </c>
      <c r="AD6" s="13">
        <f>$C$5</f>
        <v>37947.599999999999</v>
      </c>
      <c r="AE6" s="13">
        <v>1045.8</v>
      </c>
      <c r="AF6" s="13">
        <v>1641.7</v>
      </c>
      <c r="AG6" s="12"/>
      <c r="AH6" s="14" t="s">
        <v>22</v>
      </c>
      <c r="AI6" s="13">
        <f>$C$6</f>
        <v>40030.400000000001</v>
      </c>
      <c r="AJ6" s="13">
        <v>946.7</v>
      </c>
      <c r="AK6" s="13">
        <v>1627.5</v>
      </c>
      <c r="AL6" s="12"/>
    </row>
    <row r="7" spans="1:38" ht="15.6" x14ac:dyDescent="0.3">
      <c r="A7" s="2"/>
      <c r="B7" s="5" t="s">
        <v>23</v>
      </c>
      <c r="C7" s="5">
        <v>1628.5</v>
      </c>
      <c r="D7" s="5" t="s">
        <v>15</v>
      </c>
      <c r="E7" s="5" t="s">
        <v>24</v>
      </c>
      <c r="F7" s="5" t="s">
        <v>25</v>
      </c>
      <c r="G7" s="5"/>
      <c r="H7" s="2"/>
      <c r="I7" s="5" t="s">
        <v>22</v>
      </c>
      <c r="J7" s="4"/>
      <c r="K7" s="4"/>
      <c r="L7" s="3"/>
      <c r="M7" s="2"/>
      <c r="N7" s="5" t="s">
        <v>22</v>
      </c>
      <c r="O7" s="4">
        <f>$C$9</f>
        <v>38624.400000000001</v>
      </c>
      <c r="P7" s="4">
        <v>1220.8</v>
      </c>
      <c r="Q7" s="4">
        <v>1488.4</v>
      </c>
      <c r="R7" s="2"/>
      <c r="S7" s="5" t="s">
        <v>22</v>
      </c>
      <c r="T7" s="4">
        <f>$C$10</f>
        <v>39604.400000000001</v>
      </c>
      <c r="U7" s="4">
        <v>1126.3</v>
      </c>
      <c r="V7" s="4">
        <v>1519.2</v>
      </c>
      <c r="W7" s="2"/>
      <c r="X7" s="14" t="s">
        <v>22</v>
      </c>
      <c r="Y7" s="13">
        <v>19973.7</v>
      </c>
      <c r="Z7" s="13">
        <v>1467.4</v>
      </c>
      <c r="AA7" s="13">
        <v>1933.75</v>
      </c>
      <c r="AB7" s="12"/>
      <c r="AC7" s="14" t="s">
        <v>22</v>
      </c>
      <c r="AD7" s="13">
        <f>$C$5</f>
        <v>37947.599999999999</v>
      </c>
      <c r="AE7" s="13">
        <v>1181.5999999999999</v>
      </c>
      <c r="AF7" s="13">
        <v>1543.5</v>
      </c>
      <c r="AG7" s="12"/>
      <c r="AH7" s="14" t="s">
        <v>22</v>
      </c>
      <c r="AI7" s="13">
        <f>$C$6</f>
        <v>40030.400000000001</v>
      </c>
      <c r="AJ7" s="13">
        <v>1059.2</v>
      </c>
      <c r="AK7" s="13">
        <v>1543.5</v>
      </c>
      <c r="AL7" s="12"/>
    </row>
    <row r="8" spans="1:38" ht="15.75" customHeight="1" x14ac:dyDescent="0.3">
      <c r="A8" s="11"/>
      <c r="B8" s="5" t="s">
        <v>26</v>
      </c>
      <c r="C8" s="4">
        <v>-604.70000000000005</v>
      </c>
      <c r="D8" s="5" t="s">
        <v>15</v>
      </c>
      <c r="E8" s="5" t="s">
        <v>24</v>
      </c>
      <c r="F8" s="5" t="s">
        <v>25</v>
      </c>
      <c r="G8" s="5"/>
      <c r="H8" s="2"/>
      <c r="I8" s="5" t="s">
        <v>22</v>
      </c>
      <c r="J8" s="4"/>
      <c r="K8" s="4"/>
      <c r="L8" s="3"/>
      <c r="M8" s="2"/>
      <c r="N8" s="5" t="s">
        <v>22</v>
      </c>
      <c r="O8" s="4">
        <f>$C$9</f>
        <v>38624.400000000001</v>
      </c>
      <c r="P8" s="4">
        <v>1278.7</v>
      </c>
      <c r="Q8" s="4">
        <v>1434.6</v>
      </c>
      <c r="R8" s="2"/>
      <c r="S8" s="5" t="s">
        <v>22</v>
      </c>
      <c r="T8" s="4">
        <f>$C$10</f>
        <v>39604.400000000001</v>
      </c>
      <c r="U8" s="4">
        <v>1216.7</v>
      </c>
      <c r="V8" s="4">
        <v>1434.6</v>
      </c>
      <c r="W8" s="2"/>
      <c r="X8" s="14" t="s">
        <v>22</v>
      </c>
      <c r="Y8" s="13">
        <v>19973.7</v>
      </c>
      <c r="Z8" s="13">
        <v>1574.41</v>
      </c>
      <c r="AA8" s="13">
        <v>1809.22</v>
      </c>
      <c r="AB8" s="12"/>
      <c r="AC8" s="14" t="s">
        <v>22</v>
      </c>
      <c r="AD8" s="13">
        <f>$C$5</f>
        <v>37947.599999999999</v>
      </c>
      <c r="AE8" s="13">
        <v>1301.9000000000001</v>
      </c>
      <c r="AF8" s="13">
        <v>1429.6</v>
      </c>
      <c r="AG8" s="12"/>
      <c r="AH8" s="14" t="s">
        <v>22</v>
      </c>
      <c r="AI8" s="13">
        <f>$C$6</f>
        <v>40030.400000000001</v>
      </c>
      <c r="AJ8" s="13">
        <v>1171.7</v>
      </c>
      <c r="AK8" s="13">
        <v>1429.6</v>
      </c>
      <c r="AL8" s="12"/>
    </row>
    <row r="9" spans="1:38" ht="15.6" x14ac:dyDescent="0.3">
      <c r="A9" s="2"/>
      <c r="B9" s="5" t="s">
        <v>27</v>
      </c>
      <c r="C9" s="4">
        <v>38624.400000000001</v>
      </c>
      <c r="D9" s="5" t="s">
        <v>15</v>
      </c>
      <c r="E9" s="5" t="s">
        <v>16</v>
      </c>
      <c r="F9" s="5" t="s">
        <v>25</v>
      </c>
      <c r="G9" s="5" t="s">
        <v>28</v>
      </c>
      <c r="H9" s="2"/>
      <c r="I9" s="5" t="s">
        <v>22</v>
      </c>
      <c r="J9" s="4"/>
      <c r="K9" s="4"/>
      <c r="L9" s="3"/>
      <c r="M9" s="2"/>
      <c r="N9" s="5" t="s">
        <v>22</v>
      </c>
      <c r="O9" s="4">
        <f>$C$9</f>
        <v>38624.400000000001</v>
      </c>
      <c r="P9" s="4">
        <v>1402.9</v>
      </c>
      <c r="Q9" s="4">
        <v>1300.5999999999999</v>
      </c>
      <c r="R9" s="2"/>
      <c r="S9" s="5" t="s">
        <v>22</v>
      </c>
      <c r="T9" s="4">
        <f>$C$10</f>
        <v>39604.400000000001</v>
      </c>
      <c r="U9" s="4">
        <v>1313.7</v>
      </c>
      <c r="V9" s="4">
        <v>1327.2</v>
      </c>
      <c r="W9" s="2"/>
      <c r="X9" s="14" t="s">
        <v>22</v>
      </c>
      <c r="Y9" s="13">
        <v>19973.7</v>
      </c>
      <c r="Z9" s="13">
        <v>1670.88</v>
      </c>
      <c r="AA9" s="13">
        <v>1676.37</v>
      </c>
      <c r="AB9" s="12"/>
      <c r="AC9" s="14" t="s">
        <v>22</v>
      </c>
      <c r="AD9" s="13">
        <f>$C$5</f>
        <v>37947.599999999999</v>
      </c>
      <c r="AE9" s="13">
        <v>1422.2</v>
      </c>
      <c r="AF9" s="13">
        <v>1315.6</v>
      </c>
      <c r="AG9" s="12"/>
      <c r="AH9" s="14" t="s">
        <v>22</v>
      </c>
      <c r="AI9" s="13">
        <f>$C$6</f>
        <v>40030.400000000001</v>
      </c>
      <c r="AJ9" s="13">
        <v>1284.3</v>
      </c>
      <c r="AK9" s="13">
        <v>1315.6</v>
      </c>
      <c r="AL9" s="12"/>
    </row>
    <row r="10" spans="1:38" ht="15.6" x14ac:dyDescent="0.3">
      <c r="A10" s="2"/>
      <c r="B10" s="5" t="s">
        <v>29</v>
      </c>
      <c r="C10" s="4">
        <v>39604.400000000001</v>
      </c>
      <c r="D10" s="5" t="s">
        <v>15</v>
      </c>
      <c r="E10" s="5" t="s">
        <v>16</v>
      </c>
      <c r="F10" s="5" t="s">
        <v>25</v>
      </c>
      <c r="G10" s="5" t="s">
        <v>30</v>
      </c>
      <c r="H10" s="2"/>
      <c r="I10" s="5" t="s">
        <v>22</v>
      </c>
      <c r="J10" s="4"/>
      <c r="K10" s="4"/>
      <c r="L10" s="3"/>
      <c r="M10" s="2"/>
      <c r="N10" s="5" t="s">
        <v>22</v>
      </c>
      <c r="O10" s="4">
        <f>$C$9</f>
        <v>38624.400000000001</v>
      </c>
      <c r="P10" s="4">
        <v>1489.7</v>
      </c>
      <c r="Q10" s="4">
        <v>1187.3</v>
      </c>
      <c r="R10" s="2"/>
      <c r="S10" s="5" t="s">
        <v>22</v>
      </c>
      <c r="T10" s="4">
        <f>$C$10</f>
        <v>39604.400000000001</v>
      </c>
      <c r="U10" s="4">
        <v>1417.6</v>
      </c>
      <c r="V10" s="4">
        <v>1187.3</v>
      </c>
      <c r="W10" s="2"/>
      <c r="X10" s="14" t="s">
        <v>22</v>
      </c>
      <c r="Y10" s="13">
        <v>19973.7</v>
      </c>
      <c r="Z10" s="4">
        <v>1756.17</v>
      </c>
      <c r="AA10" s="4">
        <v>1536.08</v>
      </c>
      <c r="AB10" s="12"/>
      <c r="AC10" s="14" t="s">
        <v>22</v>
      </c>
      <c r="AD10" s="13">
        <f>$C$5</f>
        <v>37947.599999999999</v>
      </c>
      <c r="AE10" s="4">
        <v>1512.8</v>
      </c>
      <c r="AF10" s="4">
        <v>1193.7</v>
      </c>
      <c r="AG10" s="12"/>
      <c r="AH10" s="14" t="s">
        <v>22</v>
      </c>
      <c r="AI10" s="13">
        <f>$C$6</f>
        <v>40030.400000000001</v>
      </c>
      <c r="AJ10" s="4">
        <v>1363.8</v>
      </c>
      <c r="AK10" s="4">
        <v>1193.7</v>
      </c>
      <c r="AL10" s="12"/>
    </row>
    <row r="11" spans="1:38" ht="15.6" x14ac:dyDescent="0.3">
      <c r="A11" s="2"/>
      <c r="B11" s="5" t="s">
        <v>31</v>
      </c>
      <c r="C11" s="4">
        <f>(1557.1+1527.3)/2</f>
        <v>1542.1999999999998</v>
      </c>
      <c r="D11" s="5" t="s">
        <v>15</v>
      </c>
      <c r="E11" s="5" t="s">
        <v>24</v>
      </c>
      <c r="F11" s="5" t="s">
        <v>25</v>
      </c>
      <c r="G11" s="5" t="s">
        <v>32</v>
      </c>
      <c r="H11" s="2"/>
      <c r="I11" s="5" t="s">
        <v>22</v>
      </c>
      <c r="J11" s="4"/>
      <c r="K11" s="4"/>
      <c r="L11" s="3"/>
      <c r="M11" s="2"/>
      <c r="N11" s="5" t="s">
        <v>22</v>
      </c>
      <c r="O11" s="4">
        <f>$C$9</f>
        <v>38624.400000000001</v>
      </c>
      <c r="P11" s="4">
        <v>1571.7</v>
      </c>
      <c r="Q11" s="4">
        <v>1061.0999999999999</v>
      </c>
      <c r="R11" s="2"/>
      <c r="S11" s="5" t="s">
        <v>22</v>
      </c>
      <c r="T11" s="4">
        <f>$C$10</f>
        <v>39604.400000000001</v>
      </c>
      <c r="U11" s="4">
        <v>1482.4</v>
      </c>
      <c r="V11" s="4">
        <v>1079.5</v>
      </c>
      <c r="W11" s="2"/>
      <c r="X11" s="14" t="s">
        <v>22</v>
      </c>
      <c r="Y11" s="13">
        <v>19973.7</v>
      </c>
      <c r="Z11" s="4">
        <v>1829.7</v>
      </c>
      <c r="AA11" s="4">
        <v>1389.28</v>
      </c>
      <c r="AB11" s="9"/>
      <c r="AC11" s="14" t="s">
        <v>22</v>
      </c>
      <c r="AD11" s="13">
        <f>$C$5</f>
        <v>37947.599999999999</v>
      </c>
      <c r="AE11" s="4">
        <v>1603.4</v>
      </c>
      <c r="AF11" s="4">
        <v>1071.7</v>
      </c>
      <c r="AG11" s="9"/>
      <c r="AH11" s="14" t="s">
        <v>22</v>
      </c>
      <c r="AI11" s="13">
        <f>$C$6</f>
        <v>40030.400000000001</v>
      </c>
      <c r="AJ11" s="4">
        <v>1443.3</v>
      </c>
      <c r="AK11" s="4">
        <v>1071.7</v>
      </c>
      <c r="AL11" s="12"/>
    </row>
    <row r="12" spans="1:38" ht="15.6" x14ac:dyDescent="0.3">
      <c r="A12" s="2"/>
      <c r="B12" s="5" t="s">
        <v>33</v>
      </c>
      <c r="C12" s="4">
        <v>-508.5</v>
      </c>
      <c r="D12" s="5" t="s">
        <v>15</v>
      </c>
      <c r="E12" s="5" t="s">
        <v>24</v>
      </c>
      <c r="F12" s="5" t="s">
        <v>25</v>
      </c>
      <c r="G12" s="5"/>
      <c r="H12" s="2"/>
      <c r="I12" s="5" t="s">
        <v>22</v>
      </c>
      <c r="J12" s="4"/>
      <c r="K12" s="4"/>
      <c r="L12" s="3"/>
      <c r="M12" s="2"/>
      <c r="N12" s="5" t="s">
        <v>22</v>
      </c>
      <c r="O12" s="4">
        <f>$C$9</f>
        <v>38624.400000000001</v>
      </c>
      <c r="P12" s="4">
        <v>1632.6</v>
      </c>
      <c r="Q12" s="4">
        <v>950.7</v>
      </c>
      <c r="R12" s="2"/>
      <c r="S12" s="5" t="s">
        <v>22</v>
      </c>
      <c r="T12" s="4">
        <f>$C$10</f>
        <v>39604.400000000001</v>
      </c>
      <c r="U12" s="4">
        <v>1545.2</v>
      </c>
      <c r="V12" s="4">
        <v>950.7</v>
      </c>
      <c r="W12" s="2"/>
      <c r="X12" s="14" t="s">
        <v>22</v>
      </c>
      <c r="Y12" s="13">
        <v>19973.7</v>
      </c>
      <c r="Z12" s="4">
        <v>1914.46</v>
      </c>
      <c r="AA12" s="4">
        <v>1166.9100000000001</v>
      </c>
      <c r="AB12" s="9"/>
      <c r="AC12" s="14" t="s">
        <v>22</v>
      </c>
      <c r="AD12" s="13">
        <f>$C$5</f>
        <v>37947.599999999999</v>
      </c>
      <c r="AE12" s="4">
        <v>1669.8</v>
      </c>
      <c r="AF12" s="4">
        <v>948.2</v>
      </c>
      <c r="AG12" s="9"/>
      <c r="AH12" s="14" t="s">
        <v>22</v>
      </c>
      <c r="AI12" s="13">
        <f>$C$6</f>
        <v>40030.400000000001</v>
      </c>
      <c r="AJ12" s="4">
        <v>1488.6</v>
      </c>
      <c r="AK12" s="4">
        <v>948.2</v>
      </c>
      <c r="AL12" s="12"/>
    </row>
    <row r="13" spans="1:38" ht="15.6" x14ac:dyDescent="0.3">
      <c r="A13" s="2"/>
      <c r="B13" s="5"/>
      <c r="C13" s="5"/>
      <c r="D13" s="5"/>
      <c r="E13" s="5"/>
      <c r="F13" s="5"/>
      <c r="G13" s="5"/>
      <c r="H13" s="2"/>
      <c r="I13" s="5" t="s">
        <v>22</v>
      </c>
      <c r="J13" s="4"/>
      <c r="K13" s="4"/>
      <c r="L13" s="3"/>
      <c r="M13" s="2"/>
      <c r="N13" s="5" t="s">
        <v>22</v>
      </c>
      <c r="O13" s="4">
        <f>$C$9</f>
        <v>38624.400000000001</v>
      </c>
      <c r="P13" s="4">
        <v>1692.2</v>
      </c>
      <c r="Q13" s="4">
        <v>820.3</v>
      </c>
      <c r="R13" s="2"/>
      <c r="S13" s="5" t="s">
        <v>22</v>
      </c>
      <c r="T13" s="4">
        <f>$C$10</f>
        <v>39604.400000000001</v>
      </c>
      <c r="U13" s="4">
        <v>1590.1</v>
      </c>
      <c r="V13" s="4">
        <v>827.2</v>
      </c>
      <c r="W13" s="2"/>
      <c r="X13" s="14" t="s">
        <v>22</v>
      </c>
      <c r="Y13" s="13">
        <v>19973.7</v>
      </c>
      <c r="Z13" s="4">
        <v>1972.31</v>
      </c>
      <c r="AA13" s="4">
        <v>936.08</v>
      </c>
      <c r="AB13" s="9"/>
      <c r="AC13" s="14" t="s">
        <v>22</v>
      </c>
      <c r="AD13" s="13">
        <f>$C$5</f>
        <v>37947.599999999999</v>
      </c>
      <c r="AE13" s="4">
        <v>1736.2</v>
      </c>
      <c r="AF13" s="4">
        <v>824.7</v>
      </c>
      <c r="AG13" s="9"/>
      <c r="AH13" s="14" t="s">
        <v>22</v>
      </c>
      <c r="AI13" s="13">
        <f>$C$6</f>
        <v>40030.400000000001</v>
      </c>
      <c r="AJ13" s="4">
        <v>1533.9</v>
      </c>
      <c r="AK13" s="4">
        <v>824.7</v>
      </c>
      <c r="AL13" s="12"/>
    </row>
    <row r="14" spans="1:38" ht="15.6" x14ac:dyDescent="0.3">
      <c r="A14" s="2"/>
      <c r="H14" s="2"/>
      <c r="I14" s="5" t="s">
        <v>22</v>
      </c>
      <c r="J14" s="4"/>
      <c r="K14" s="4"/>
      <c r="L14" s="3"/>
      <c r="M14" s="2"/>
      <c r="N14" s="5" t="s">
        <v>22</v>
      </c>
      <c r="O14" s="4">
        <f>$C$9</f>
        <v>38624.400000000001</v>
      </c>
      <c r="P14" s="4">
        <v>1744.9</v>
      </c>
      <c r="Q14" s="4">
        <v>672.3</v>
      </c>
      <c r="R14" s="2"/>
      <c r="S14" s="5" t="s">
        <v>22</v>
      </c>
      <c r="T14" s="4">
        <f>$C$10</f>
        <v>39604.400000000001</v>
      </c>
      <c r="U14" s="4">
        <v>1628.8</v>
      </c>
      <c r="V14" s="4">
        <v>672.3</v>
      </c>
      <c r="W14" s="2"/>
      <c r="X14" s="14" t="s">
        <v>22</v>
      </c>
      <c r="Y14" s="13">
        <v>19973.7</v>
      </c>
      <c r="Z14" s="4">
        <v>2002.42</v>
      </c>
      <c r="AA14" s="4">
        <v>700.02</v>
      </c>
      <c r="AB14" s="9"/>
      <c r="AC14" s="14" t="s">
        <v>22</v>
      </c>
      <c r="AD14" s="13">
        <f>$C$5</f>
        <v>37947.599999999999</v>
      </c>
      <c r="AE14" s="4">
        <v>1788.9</v>
      </c>
      <c r="AF14" s="4">
        <v>670</v>
      </c>
      <c r="AG14" s="9"/>
      <c r="AH14" s="14" t="s">
        <v>22</v>
      </c>
      <c r="AI14" s="13">
        <f>$C$6</f>
        <v>40030.400000000001</v>
      </c>
      <c r="AJ14" s="4">
        <v>1556.1</v>
      </c>
      <c r="AK14" s="4">
        <v>670</v>
      </c>
      <c r="AL14" s="12"/>
    </row>
    <row r="15" spans="1:38" ht="15.6" x14ac:dyDescent="0.3">
      <c r="A15" s="2"/>
      <c r="B15" s="2"/>
      <c r="C15" s="2"/>
      <c r="D15" s="2"/>
      <c r="E15" s="2"/>
      <c r="F15" s="2"/>
      <c r="G15" s="2"/>
      <c r="H15" s="2"/>
      <c r="I15" s="5" t="s">
        <v>22</v>
      </c>
      <c r="J15" s="4"/>
      <c r="K15" s="4"/>
      <c r="L15" s="3"/>
      <c r="M15" s="2"/>
      <c r="N15" s="5" t="s">
        <v>22</v>
      </c>
      <c r="O15" s="4">
        <f>$C$9</f>
        <v>38624.400000000001</v>
      </c>
      <c r="P15" s="4">
        <v>1784.1</v>
      </c>
      <c r="Q15" s="4">
        <v>515</v>
      </c>
      <c r="R15" s="2"/>
      <c r="S15" s="5" t="s">
        <v>22</v>
      </c>
      <c r="T15" s="4">
        <f>$C$10</f>
        <v>39604.400000000001</v>
      </c>
      <c r="U15" s="4">
        <v>1652</v>
      </c>
      <c r="V15" s="4">
        <v>513.1</v>
      </c>
      <c r="W15" s="2"/>
      <c r="X15" s="14" t="s">
        <v>22</v>
      </c>
      <c r="Y15" s="13">
        <v>19973.7</v>
      </c>
      <c r="Z15" s="4">
        <v>2006.65</v>
      </c>
      <c r="AA15" s="4">
        <v>527.16999999999996</v>
      </c>
      <c r="AB15" s="9"/>
      <c r="AC15" s="14" t="s">
        <v>22</v>
      </c>
      <c r="AD15" s="13">
        <f>$C$5</f>
        <v>37947.599999999999</v>
      </c>
      <c r="AE15" s="4">
        <v>1841.6</v>
      </c>
      <c r="AF15" s="4">
        <v>515.20000000000005</v>
      </c>
      <c r="AG15" s="9"/>
      <c r="AH15" s="14" t="s">
        <v>22</v>
      </c>
      <c r="AI15" s="13">
        <f>$C$6</f>
        <v>40030.400000000001</v>
      </c>
      <c r="AJ15" s="4">
        <v>1578.3</v>
      </c>
      <c r="AK15" s="4">
        <v>515.20000000000005</v>
      </c>
      <c r="AL15" s="12"/>
    </row>
    <row r="16" spans="1:38" ht="15.75" customHeight="1" x14ac:dyDescent="0.3">
      <c r="A16" s="2"/>
      <c r="B16" s="11"/>
      <c r="C16" s="2"/>
      <c r="D16" s="2"/>
      <c r="E16" s="2"/>
      <c r="F16" s="2"/>
      <c r="G16" s="9"/>
      <c r="H16" s="2"/>
      <c r="I16" s="5" t="s">
        <v>22</v>
      </c>
      <c r="J16" s="4"/>
      <c r="K16" s="4"/>
      <c r="L16" s="3"/>
      <c r="M16" s="2"/>
      <c r="N16" s="5" t="s">
        <v>22</v>
      </c>
      <c r="O16" s="4">
        <f>$C$9</f>
        <v>38624.400000000001</v>
      </c>
      <c r="P16" s="4">
        <v>1808.6</v>
      </c>
      <c r="Q16" s="4">
        <v>354.5</v>
      </c>
      <c r="R16" s="2"/>
      <c r="S16" s="5" t="s">
        <v>22</v>
      </c>
      <c r="T16" s="4">
        <f>$C$10</f>
        <v>39604.400000000001</v>
      </c>
      <c r="U16" s="4">
        <v>1661.7</v>
      </c>
      <c r="V16" s="4">
        <v>354.5</v>
      </c>
      <c r="W16" s="2"/>
      <c r="X16" s="14" t="s">
        <v>22</v>
      </c>
      <c r="Y16" s="13">
        <v>19973.7</v>
      </c>
      <c r="Z16" s="4">
        <v>1996.58</v>
      </c>
      <c r="AA16" s="4">
        <v>354.54</v>
      </c>
      <c r="AB16" s="9"/>
      <c r="AC16" s="14" t="s">
        <v>22</v>
      </c>
      <c r="AD16" s="13">
        <f>$C$5</f>
        <v>37947.599999999999</v>
      </c>
      <c r="AE16" s="4">
        <v>1864.1</v>
      </c>
      <c r="AF16" s="4">
        <v>353.3</v>
      </c>
      <c r="AG16" s="9"/>
      <c r="AH16" s="14" t="s">
        <v>22</v>
      </c>
      <c r="AI16" s="13">
        <f>$C$6</f>
        <v>40030.400000000001</v>
      </c>
      <c r="AJ16" s="4">
        <v>1580.3</v>
      </c>
      <c r="AK16" s="4">
        <v>353.3</v>
      </c>
      <c r="AL16" s="12"/>
    </row>
    <row r="17" spans="1:38" ht="15.6" x14ac:dyDescent="0.3">
      <c r="A17" s="2"/>
      <c r="B17" s="15">
        <f>SUM([1]DOOR_FRAMES!C4:C105,[1]DOOR_LINTEL!C4:C10,[1]DOOR_INTERCOSTALS!C4:C39,[1]DOOR_SILL!C5:C12)</f>
        <v>33684.84118707123</v>
      </c>
      <c r="C17" s="2"/>
      <c r="D17" s="2"/>
      <c r="E17" s="2"/>
      <c r="F17" s="2"/>
      <c r="G17" s="2"/>
      <c r="H17" s="2"/>
      <c r="I17" s="5" t="s">
        <v>22</v>
      </c>
      <c r="J17" s="4"/>
      <c r="K17" s="4"/>
      <c r="L17" s="3"/>
      <c r="M17" s="2"/>
      <c r="N17" s="5" t="s">
        <v>22</v>
      </c>
      <c r="O17" s="4">
        <f>$C$9</f>
        <v>38624.400000000001</v>
      </c>
      <c r="P17" s="4">
        <v>1817.1</v>
      </c>
      <c r="Q17" s="4">
        <v>190.7</v>
      </c>
      <c r="R17" s="2"/>
      <c r="S17" s="5" t="s">
        <v>22</v>
      </c>
      <c r="T17" s="4">
        <f>$C$10</f>
        <v>39604.400000000001</v>
      </c>
      <c r="U17" s="4">
        <v>1662.3</v>
      </c>
      <c r="V17" s="4">
        <v>192</v>
      </c>
      <c r="W17" s="2"/>
      <c r="X17" s="14" t="s">
        <v>22</v>
      </c>
      <c r="Y17" s="13">
        <v>19973.7</v>
      </c>
      <c r="Z17" s="4">
        <v>1974.43</v>
      </c>
      <c r="AA17" s="4">
        <v>183.06</v>
      </c>
      <c r="AB17" s="9"/>
      <c r="AC17" s="14" t="s">
        <v>22</v>
      </c>
      <c r="AD17" s="13">
        <f>$C$5</f>
        <v>37947.599999999999</v>
      </c>
      <c r="AE17" s="4">
        <v>1886.7</v>
      </c>
      <c r="AF17" s="4">
        <v>191.3</v>
      </c>
      <c r="AG17" s="9"/>
      <c r="AH17" s="14" t="s">
        <v>22</v>
      </c>
      <c r="AI17" s="13">
        <f>$C$6</f>
        <v>40030.400000000001</v>
      </c>
      <c r="AJ17" s="4">
        <v>1582.3</v>
      </c>
      <c r="AK17" s="4">
        <v>191.3</v>
      </c>
      <c r="AL17" s="12"/>
    </row>
    <row r="18" spans="1:38" ht="15.6" x14ac:dyDescent="0.3">
      <c r="A18" s="2"/>
      <c r="B18" s="2"/>
      <c r="C18" s="2"/>
      <c r="D18" s="2"/>
      <c r="E18" s="2"/>
      <c r="F18" s="2"/>
      <c r="G18" s="2"/>
      <c r="H18" s="2"/>
      <c r="I18" s="5" t="s">
        <v>22</v>
      </c>
      <c r="J18" s="4"/>
      <c r="K18" s="4"/>
      <c r="L18" s="3"/>
      <c r="M18" s="2"/>
      <c r="N18" s="5" t="s">
        <v>22</v>
      </c>
      <c r="O18" s="4">
        <f>$C$9</f>
        <v>38624.400000000001</v>
      </c>
      <c r="P18" s="4">
        <v>1809.7</v>
      </c>
      <c r="Q18" s="4">
        <v>50.8</v>
      </c>
      <c r="R18" s="2"/>
      <c r="S18" s="5" t="s">
        <v>22</v>
      </c>
      <c r="T18" s="4">
        <f>$C$10</f>
        <v>39604.400000000001</v>
      </c>
      <c r="U18" s="4">
        <v>1652.9</v>
      </c>
      <c r="V18" s="4">
        <v>50.8</v>
      </c>
      <c r="W18" s="2"/>
      <c r="X18" s="14" t="s">
        <v>22</v>
      </c>
      <c r="Y18" s="13">
        <v>19973.7</v>
      </c>
      <c r="Z18" s="4">
        <v>1934</v>
      </c>
      <c r="AA18" s="4">
        <v>-13.5</v>
      </c>
      <c r="AB18" s="9"/>
      <c r="AC18" s="14" t="s">
        <v>22</v>
      </c>
      <c r="AD18" s="13">
        <f>$C$5</f>
        <v>37947.599999999999</v>
      </c>
      <c r="AE18" s="4">
        <v>1879.6</v>
      </c>
      <c r="AF18" s="4">
        <v>50.7</v>
      </c>
      <c r="AG18" s="9"/>
      <c r="AH18" s="14" t="s">
        <v>22</v>
      </c>
      <c r="AI18" s="13">
        <f>$C$6</f>
        <v>40030.400000000001</v>
      </c>
      <c r="AJ18" s="4">
        <v>1564.2</v>
      </c>
      <c r="AK18" s="4">
        <v>50.7</v>
      </c>
      <c r="AL18" s="12"/>
    </row>
    <row r="19" spans="1:38" ht="15.6" x14ac:dyDescent="0.3">
      <c r="A19" s="2"/>
      <c r="B19" s="2"/>
      <c r="C19" s="2"/>
      <c r="D19" s="2"/>
      <c r="E19" s="2"/>
      <c r="F19" s="2"/>
      <c r="G19" s="2"/>
      <c r="H19" s="2"/>
      <c r="I19" s="5" t="s">
        <v>22</v>
      </c>
      <c r="J19" s="4"/>
      <c r="K19" s="4"/>
      <c r="L19" s="3"/>
      <c r="M19" s="2"/>
      <c r="N19" s="5" t="s">
        <v>22</v>
      </c>
      <c r="O19" s="4">
        <f>$C$9</f>
        <v>38624.400000000001</v>
      </c>
      <c r="P19" s="4">
        <v>1787.4</v>
      </c>
      <c r="Q19" s="4">
        <v>-98.3</v>
      </c>
      <c r="R19" s="2"/>
      <c r="S19" s="5" t="s">
        <v>22</v>
      </c>
      <c r="T19" s="4">
        <f>$C$10</f>
        <v>39604.400000000001</v>
      </c>
      <c r="U19" s="4">
        <v>1627.9</v>
      </c>
      <c r="V19" s="4">
        <v>-89.9</v>
      </c>
      <c r="W19" s="2"/>
      <c r="X19" s="14" t="s">
        <v>22</v>
      </c>
      <c r="Y19" s="13">
        <v>19973.7</v>
      </c>
      <c r="Z19" s="4">
        <v>1897.96</v>
      </c>
      <c r="AA19" s="4">
        <v>-143.82</v>
      </c>
      <c r="AB19" s="9"/>
      <c r="AC19" s="14" t="s">
        <v>22</v>
      </c>
      <c r="AD19" s="13">
        <f>$C$5</f>
        <v>37947.599999999999</v>
      </c>
      <c r="AE19" s="4">
        <v>1872.5</v>
      </c>
      <c r="AF19" s="4">
        <v>-90</v>
      </c>
      <c r="AG19" s="9"/>
      <c r="AH19" s="14" t="s">
        <v>22</v>
      </c>
      <c r="AI19" s="13">
        <f>$C$6</f>
        <v>40030.400000000001</v>
      </c>
      <c r="AJ19" s="4">
        <v>1545.9</v>
      </c>
      <c r="AK19" s="4">
        <v>-90</v>
      </c>
      <c r="AL19" s="12"/>
    </row>
    <row r="20" spans="1:38" ht="15.6" x14ac:dyDescent="0.3">
      <c r="A20" s="2"/>
      <c r="B20" s="2"/>
      <c r="C20" s="2"/>
      <c r="D20" s="2"/>
      <c r="E20" s="2"/>
      <c r="F20" s="2"/>
      <c r="G20" s="2"/>
      <c r="H20" s="2"/>
      <c r="M20" s="2"/>
      <c r="N20" s="5" t="s">
        <v>22</v>
      </c>
      <c r="O20" s="4">
        <f>$C$9</f>
        <v>38624.400000000001</v>
      </c>
      <c r="P20" s="4">
        <v>1754.7</v>
      </c>
      <c r="Q20" s="4">
        <v>-230.5</v>
      </c>
      <c r="R20" s="2"/>
      <c r="S20" s="5" t="s">
        <v>22</v>
      </c>
      <c r="T20" s="4">
        <f>$C$10</f>
        <v>39604.400000000001</v>
      </c>
      <c r="U20" s="4">
        <v>1584.6</v>
      </c>
      <c r="V20" s="4">
        <v>-230.5</v>
      </c>
      <c r="W20" s="2"/>
      <c r="X20" s="14" t="s">
        <v>22</v>
      </c>
      <c r="Y20" s="13">
        <v>19973.7</v>
      </c>
      <c r="Z20" s="4">
        <v>1845.28</v>
      </c>
      <c r="AA20" s="4">
        <v>-298.04000000000002</v>
      </c>
      <c r="AB20" s="9"/>
      <c r="AC20" s="14" t="s">
        <v>22</v>
      </c>
      <c r="AD20" s="13">
        <f>$C$5</f>
        <v>37947.599999999999</v>
      </c>
      <c r="AE20" s="4">
        <v>1837.4</v>
      </c>
      <c r="AF20" s="4">
        <v>-230.1</v>
      </c>
      <c r="AG20" s="9"/>
      <c r="AH20" s="14" t="s">
        <v>22</v>
      </c>
      <c r="AI20" s="13">
        <f>$C$6</f>
        <v>40030.400000000001</v>
      </c>
      <c r="AJ20" s="4">
        <v>1489.1</v>
      </c>
      <c r="AK20" s="4">
        <v>-230.1</v>
      </c>
      <c r="AL20" s="12"/>
    </row>
    <row r="21" spans="1:38" ht="15.6" x14ac:dyDescent="0.3">
      <c r="A21" s="2"/>
      <c r="B21" s="2"/>
      <c r="C21" s="2"/>
      <c r="D21" s="2"/>
      <c r="E21" s="2"/>
      <c r="F21" s="2"/>
      <c r="G21" s="2"/>
      <c r="H21" s="2"/>
      <c r="M21" s="2"/>
      <c r="N21" s="5" t="s">
        <v>22</v>
      </c>
      <c r="O21" s="4">
        <f>$C$9</f>
        <v>38624.400000000001</v>
      </c>
      <c r="P21" s="4">
        <v>1705</v>
      </c>
      <c r="Q21" s="4">
        <v>-379.1</v>
      </c>
      <c r="R21" s="2"/>
      <c r="S21" s="5" t="s">
        <v>22</v>
      </c>
      <c r="T21" s="4">
        <f>$C$10</f>
        <v>39604.400000000001</v>
      </c>
      <c r="U21" s="4">
        <v>1531</v>
      </c>
      <c r="V21" s="4">
        <v>-357.2</v>
      </c>
      <c r="W21" s="2"/>
      <c r="AB21" s="9"/>
      <c r="AC21" s="14" t="s">
        <v>22</v>
      </c>
      <c r="AD21" s="13">
        <f>$C$5</f>
        <v>37947.599999999999</v>
      </c>
      <c r="AE21" s="4">
        <v>1802.3</v>
      </c>
      <c r="AF21" s="4">
        <v>-370.3</v>
      </c>
      <c r="AG21" s="9"/>
      <c r="AH21" s="14" t="s">
        <v>22</v>
      </c>
      <c r="AI21" s="13">
        <f>$C$6</f>
        <v>40030.400000000001</v>
      </c>
      <c r="AJ21" s="4">
        <v>1432.3</v>
      </c>
      <c r="AK21" s="4">
        <v>-370.3</v>
      </c>
      <c r="AL21" s="12"/>
    </row>
    <row r="22" spans="1:38" ht="15.75" customHeight="1" x14ac:dyDescent="0.3">
      <c r="A22" s="2"/>
      <c r="B22" s="2"/>
      <c r="C22" s="2"/>
      <c r="D22" s="2"/>
      <c r="E22" s="2"/>
      <c r="F22" s="2"/>
      <c r="G22" s="2"/>
      <c r="H22" s="2"/>
      <c r="I22" s="11" t="s">
        <v>34</v>
      </c>
      <c r="J22" s="2"/>
      <c r="K22" s="2"/>
      <c r="L22" s="2"/>
      <c r="M22" s="2"/>
      <c r="N22" s="5" t="s">
        <v>22</v>
      </c>
      <c r="O22" s="4">
        <f>$C$9</f>
        <v>38624.400000000001</v>
      </c>
      <c r="P22" s="4">
        <v>1648.2</v>
      </c>
      <c r="Q22" s="4">
        <v>-508.5</v>
      </c>
      <c r="R22" s="9"/>
      <c r="S22" s="5" t="s">
        <v>22</v>
      </c>
      <c r="T22" s="4">
        <f>$C$10</f>
        <v>39604.400000000001</v>
      </c>
      <c r="U22" s="4">
        <v>1452.8</v>
      </c>
      <c r="V22" s="4">
        <v>-508.5</v>
      </c>
      <c r="W22" s="2"/>
      <c r="X22" s="2"/>
      <c r="Y22" s="9"/>
      <c r="Z22" s="2"/>
      <c r="AA22" s="2"/>
      <c r="AB22" s="2"/>
      <c r="AC22" s="14" t="s">
        <v>22</v>
      </c>
      <c r="AD22" s="13">
        <f>$C$5</f>
        <v>37947.599999999999</v>
      </c>
      <c r="AE22" s="4">
        <v>1740.5</v>
      </c>
      <c r="AF22" s="4">
        <v>-510.9</v>
      </c>
      <c r="AG22" s="2"/>
      <c r="AH22" s="14" t="s">
        <v>22</v>
      </c>
      <c r="AI22" s="13">
        <f>$C$6</f>
        <v>40030.400000000001</v>
      </c>
      <c r="AJ22" s="4">
        <v>1358.1</v>
      </c>
      <c r="AK22" s="4">
        <v>-508.5</v>
      </c>
      <c r="AL22" s="12"/>
    </row>
    <row r="23" spans="1:38" ht="15.75" customHeight="1" x14ac:dyDescent="0.3">
      <c r="A23" s="2"/>
      <c r="B23" s="2"/>
      <c r="C23" s="2"/>
      <c r="D23" s="2"/>
      <c r="E23" s="2"/>
      <c r="F23" s="2"/>
      <c r="G23" s="2"/>
      <c r="H23" s="2"/>
      <c r="I23" s="7" t="s">
        <v>18</v>
      </c>
      <c r="J23" s="7" t="s">
        <v>39</v>
      </c>
      <c r="K23" s="7" t="s">
        <v>19</v>
      </c>
      <c r="L23" s="6" t="s">
        <v>20</v>
      </c>
      <c r="M23" s="2"/>
      <c r="N23" s="5" t="s">
        <v>22</v>
      </c>
      <c r="O23" s="4">
        <f>$C$9</f>
        <v>38624.400000000001</v>
      </c>
      <c r="P23" s="4">
        <v>1594.2</v>
      </c>
      <c r="Q23" s="4">
        <v>-631.4</v>
      </c>
      <c r="R23" s="2"/>
      <c r="S23" s="5" t="s">
        <v>22</v>
      </c>
      <c r="T23" s="4">
        <f>$C$10</f>
        <v>39604.400000000001</v>
      </c>
      <c r="U23" s="4">
        <v>1391.2</v>
      </c>
      <c r="V23" s="4">
        <v>-621.70000000000005</v>
      </c>
      <c r="W23" s="2"/>
      <c r="X23" s="2"/>
      <c r="Y23" s="2"/>
      <c r="Z23" s="2"/>
      <c r="AA23" s="2"/>
      <c r="AB23" s="2"/>
      <c r="AC23" s="14" t="s">
        <v>22</v>
      </c>
      <c r="AD23" s="13">
        <f>$C$5</f>
        <v>37947.599999999999</v>
      </c>
      <c r="AE23" s="4">
        <v>1690</v>
      </c>
      <c r="AF23" s="4">
        <f>-632.4</f>
        <v>-632.4</v>
      </c>
      <c r="AG23" s="2"/>
      <c r="AH23" s="14" t="s">
        <v>22</v>
      </c>
      <c r="AI23" s="13">
        <f>$C$6</f>
        <v>40030.400000000001</v>
      </c>
      <c r="AJ23" s="4">
        <v>1291.5</v>
      </c>
      <c r="AK23" s="4">
        <v>-612.5</v>
      </c>
      <c r="AL23" s="12"/>
    </row>
    <row r="24" spans="1:38" ht="15.6" x14ac:dyDescent="0.3">
      <c r="A24" s="2"/>
      <c r="B24" s="2"/>
      <c r="C24" s="2"/>
      <c r="D24" s="2"/>
      <c r="E24" s="2"/>
      <c r="F24" s="2"/>
      <c r="G24" s="2"/>
      <c r="H24" s="2"/>
      <c r="I24" s="5">
        <v>1513055</v>
      </c>
      <c r="J24" s="4">
        <v>11633</v>
      </c>
      <c r="K24" s="4">
        <v>-1049.925</v>
      </c>
      <c r="L24" s="3">
        <v>2274.9059999999999</v>
      </c>
      <c r="M24" s="2"/>
      <c r="N24" s="2"/>
      <c r="O24" s="2"/>
      <c r="P24" s="2"/>
      <c r="Q24" s="2"/>
      <c r="R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customHeight="1" x14ac:dyDescent="0.3">
      <c r="A25" s="2"/>
      <c r="B25" s="2"/>
      <c r="C25" s="2"/>
      <c r="D25" s="2"/>
      <c r="E25" s="2"/>
      <c r="F25" s="2"/>
      <c r="G25" s="2"/>
      <c r="H25" s="2"/>
      <c r="I25" s="5">
        <v>1513065</v>
      </c>
      <c r="J25" s="4">
        <v>11633</v>
      </c>
      <c r="K25" s="4">
        <v>-1250.404</v>
      </c>
      <c r="L25" s="3">
        <v>2134.2809999999999</v>
      </c>
      <c r="M25" s="2"/>
      <c r="N25" s="2"/>
      <c r="O25" s="2"/>
      <c r="P25" s="2"/>
      <c r="Q25" s="2"/>
      <c r="R25" s="2"/>
      <c r="S25" s="8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5.75" customHeight="1" x14ac:dyDescent="0.3">
      <c r="A26" s="2"/>
      <c r="B26" s="2"/>
      <c r="C26" s="2"/>
      <c r="D26" s="2"/>
      <c r="E26" s="2"/>
      <c r="F26" s="2"/>
      <c r="G26" s="2"/>
      <c r="H26" s="2"/>
      <c r="I26" s="5">
        <v>1513075</v>
      </c>
      <c r="J26" s="4">
        <v>11633</v>
      </c>
      <c r="K26" s="4">
        <v>-1432.27</v>
      </c>
      <c r="L26" s="3">
        <v>1970.2840000000001</v>
      </c>
      <c r="M26" s="2"/>
      <c r="N26" s="2"/>
      <c r="O26" s="2"/>
      <c r="P26" s="2"/>
      <c r="Q26" s="2"/>
      <c r="R26" s="2"/>
      <c r="S26" s="11"/>
      <c r="T26" s="11"/>
      <c r="U26" s="11"/>
      <c r="V26" s="11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5.6" x14ac:dyDescent="0.3">
      <c r="A27" s="2"/>
      <c r="B27" s="2"/>
      <c r="C27" s="2"/>
      <c r="D27" s="2"/>
      <c r="E27" s="2"/>
      <c r="F27" s="2"/>
      <c r="G27" s="2"/>
      <c r="H27" s="2"/>
      <c r="I27" s="5">
        <v>1513085</v>
      </c>
      <c r="J27" s="4">
        <v>11633</v>
      </c>
      <c r="K27" s="4">
        <v>-1586.17</v>
      </c>
      <c r="L27" s="3">
        <v>1793.9770000000001</v>
      </c>
      <c r="M27" s="2"/>
      <c r="N27" s="2"/>
      <c r="O27" s="2"/>
      <c r="P27" s="2"/>
      <c r="Q27" s="2"/>
      <c r="R27" s="2"/>
      <c r="S27" s="2"/>
      <c r="T27" s="9"/>
      <c r="U27" s="9"/>
      <c r="V27" s="9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5.6" x14ac:dyDescent="0.3">
      <c r="A28" s="2"/>
      <c r="B28" s="2"/>
      <c r="C28" s="2"/>
      <c r="D28" s="2"/>
      <c r="E28" s="2"/>
      <c r="F28" s="2"/>
      <c r="G28" s="2"/>
      <c r="H28" s="2"/>
      <c r="I28" s="5">
        <v>1513095</v>
      </c>
      <c r="J28" s="4">
        <v>11633</v>
      </c>
      <c r="K28" s="4">
        <v>-1718.5060000000001</v>
      </c>
      <c r="L28" s="3">
        <v>1600.953</v>
      </c>
      <c r="M28" s="2"/>
      <c r="N28" s="2"/>
      <c r="O28" s="2"/>
      <c r="P28" s="2"/>
      <c r="Q28" s="2"/>
      <c r="R28" s="2"/>
      <c r="S28" s="2"/>
      <c r="T28" s="9"/>
      <c r="U28" s="9"/>
      <c r="V28" s="9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5.6" x14ac:dyDescent="0.3">
      <c r="A29" s="2"/>
      <c r="B29" s="2"/>
      <c r="C29" s="2"/>
      <c r="D29" s="2"/>
      <c r="E29" s="2"/>
      <c r="F29" s="2"/>
      <c r="G29" s="2"/>
      <c r="H29" s="2"/>
      <c r="I29" s="5">
        <v>1513105</v>
      </c>
      <c r="J29" s="4">
        <v>11633</v>
      </c>
      <c r="K29" s="4">
        <v>-1827.4780000000001</v>
      </c>
      <c r="L29" s="3">
        <v>1393.837</v>
      </c>
      <c r="M29" s="2"/>
      <c r="N29" s="2"/>
      <c r="O29" s="2"/>
      <c r="P29" s="2"/>
      <c r="Q29" s="2"/>
      <c r="R29" s="2"/>
      <c r="S29" s="2"/>
      <c r="T29" s="9"/>
      <c r="U29" s="9"/>
      <c r="V29" s="9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5.6" x14ac:dyDescent="0.3">
      <c r="A30" s="2"/>
      <c r="B30" s="2"/>
      <c r="C30" s="2"/>
      <c r="D30" s="2"/>
      <c r="E30" s="2"/>
      <c r="F30" s="2"/>
      <c r="G30" s="2"/>
      <c r="H30" s="2"/>
      <c r="I30" s="5">
        <v>1513115</v>
      </c>
      <c r="J30" s="4">
        <v>11633</v>
      </c>
      <c r="K30" s="4">
        <v>-1913.807</v>
      </c>
      <c r="L30" s="3">
        <v>1168.502</v>
      </c>
      <c r="M30" s="2"/>
      <c r="N30" s="2"/>
      <c r="O30" s="2"/>
      <c r="P30" s="2"/>
      <c r="Q30" s="2"/>
      <c r="R30" s="2"/>
      <c r="S30" s="2"/>
      <c r="T30" s="9"/>
      <c r="U30" s="9"/>
      <c r="V30" s="9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ht="15.6" x14ac:dyDescent="0.3">
      <c r="A31" s="2"/>
      <c r="B31" s="2"/>
      <c r="C31" s="2"/>
      <c r="D31" s="2"/>
      <c r="E31" s="2"/>
      <c r="F31" s="2"/>
      <c r="G31" s="2"/>
      <c r="H31" s="2"/>
      <c r="I31" s="5">
        <v>1513125</v>
      </c>
      <c r="J31" s="4">
        <v>11633</v>
      </c>
      <c r="K31" s="4">
        <v>-1972.472</v>
      </c>
      <c r="L31" s="3">
        <v>934.43799999999999</v>
      </c>
      <c r="M31" s="2"/>
      <c r="N31" s="2"/>
      <c r="O31" s="2"/>
      <c r="P31" s="2"/>
      <c r="Q31" s="2"/>
      <c r="R31" s="2"/>
      <c r="S31" s="2"/>
      <c r="T31" s="9"/>
      <c r="U31" s="9"/>
      <c r="V31" s="9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ht="15.6" x14ac:dyDescent="0.3">
      <c r="A32" s="2"/>
      <c r="B32" s="2"/>
      <c r="C32" s="2"/>
      <c r="D32" s="2"/>
      <c r="E32" s="2"/>
      <c r="F32" s="2"/>
      <c r="G32" s="2"/>
      <c r="H32" s="2"/>
      <c r="I32" s="5">
        <v>1513135</v>
      </c>
      <c r="J32" s="4">
        <v>11633</v>
      </c>
      <c r="K32" s="4">
        <v>-2002.625</v>
      </c>
      <c r="L32" s="3">
        <v>695.02599999999995</v>
      </c>
      <c r="M32" s="2"/>
      <c r="N32" s="2"/>
      <c r="O32" s="2"/>
      <c r="P32" s="2"/>
      <c r="Q32" s="2"/>
      <c r="R32" s="2"/>
      <c r="S32" s="2"/>
      <c r="T32" s="9"/>
      <c r="U32" s="9"/>
      <c r="V32" s="9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ht="15.6" x14ac:dyDescent="0.3">
      <c r="A33" s="2"/>
      <c r="B33" s="2"/>
      <c r="C33" s="2"/>
      <c r="D33" s="2"/>
      <c r="E33" s="2"/>
      <c r="F33" s="2"/>
      <c r="G33" s="2"/>
      <c r="H33" s="2"/>
      <c r="I33" s="10">
        <v>1513145</v>
      </c>
      <c r="J33" s="4">
        <v>11633</v>
      </c>
      <c r="K33" s="4">
        <v>-2003.634</v>
      </c>
      <c r="L33" s="3">
        <v>450.09699999999998</v>
      </c>
      <c r="M33" s="2"/>
      <c r="N33" s="2"/>
      <c r="O33" s="2"/>
      <c r="P33" s="2"/>
      <c r="Q33" s="2"/>
      <c r="R33" s="2"/>
      <c r="S33" s="2"/>
      <c r="T33" s="9"/>
      <c r="U33" s="9"/>
      <c r="V33" s="9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ht="15.6" x14ac:dyDescent="0.3">
      <c r="A34" s="2"/>
      <c r="B34" s="2"/>
      <c r="C34" s="2"/>
      <c r="D34" s="2"/>
      <c r="E34" s="2"/>
      <c r="F34" s="2"/>
      <c r="G34" s="2"/>
      <c r="H34" s="2"/>
      <c r="I34" s="10">
        <v>1513155</v>
      </c>
      <c r="J34" s="4">
        <v>11633</v>
      </c>
      <c r="K34" s="4">
        <v>-1978.0619999999999</v>
      </c>
      <c r="L34" s="3">
        <v>206.45099999999999</v>
      </c>
      <c r="M34" s="2"/>
      <c r="N34" s="2"/>
      <c r="O34" s="2"/>
      <c r="P34" s="2"/>
      <c r="Q34" s="2"/>
      <c r="R34" s="2"/>
      <c r="S34" s="2"/>
      <c r="T34" s="9"/>
      <c r="U34" s="9"/>
      <c r="V34" s="9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ht="15.6" x14ac:dyDescent="0.3">
      <c r="A35" s="2"/>
      <c r="B35" s="2"/>
      <c r="C35" s="2"/>
      <c r="D35" s="2"/>
      <c r="E35" s="2"/>
      <c r="F35" s="2"/>
      <c r="G35" s="2"/>
      <c r="H35" s="2"/>
      <c r="I35" s="10">
        <v>1513165</v>
      </c>
      <c r="J35" s="4">
        <v>11633</v>
      </c>
      <c r="K35" s="4">
        <v>-1934.8409999999999</v>
      </c>
      <c r="L35" s="3">
        <v>-9.7149999999999999</v>
      </c>
      <c r="M35" s="2"/>
      <c r="N35" s="2"/>
      <c r="O35" s="2"/>
      <c r="P35" s="2"/>
      <c r="Q35" s="2"/>
      <c r="R35" s="2"/>
      <c r="S35" s="2"/>
      <c r="T35" s="9"/>
      <c r="U35" s="9"/>
      <c r="V35" s="9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ht="15.6" x14ac:dyDescent="0.3">
      <c r="A36" s="2"/>
      <c r="B36" s="2"/>
      <c r="C36" s="2"/>
      <c r="D36" s="2"/>
      <c r="E36" s="2"/>
      <c r="F36" s="2"/>
      <c r="G36" s="2"/>
      <c r="H36" s="2"/>
      <c r="I36" s="10">
        <v>1513175</v>
      </c>
      <c r="J36" s="4">
        <v>11633</v>
      </c>
      <c r="K36" s="4">
        <v>-1863.383</v>
      </c>
      <c r="L36" s="3">
        <v>-248.36199999999999</v>
      </c>
      <c r="M36" s="2"/>
      <c r="N36" s="2"/>
      <c r="O36" s="2"/>
      <c r="P36" s="2"/>
      <c r="Q36" s="2"/>
      <c r="R36" s="2"/>
      <c r="S36" s="2"/>
      <c r="T36" s="9"/>
      <c r="U36" s="9"/>
      <c r="V36" s="9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15.6" x14ac:dyDescent="0.3">
      <c r="A37" s="2"/>
      <c r="B37" s="2"/>
      <c r="C37" s="2"/>
      <c r="D37" s="2"/>
      <c r="E37" s="2"/>
      <c r="F37" s="2"/>
      <c r="G37" s="2"/>
      <c r="H37" s="2"/>
      <c r="I37" s="10">
        <v>1513185</v>
      </c>
      <c r="J37" s="4">
        <v>11633</v>
      </c>
      <c r="K37" s="4">
        <v>-1768.61</v>
      </c>
      <c r="L37" s="3">
        <v>-478.77</v>
      </c>
      <c r="M37" s="2"/>
      <c r="N37" s="2"/>
      <c r="O37" s="2"/>
      <c r="P37" s="2"/>
      <c r="Q37" s="2"/>
      <c r="R37" s="2"/>
      <c r="S37" s="2"/>
      <c r="T37" s="9"/>
      <c r="U37" s="9"/>
      <c r="V37" s="9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15.6" x14ac:dyDescent="0.3">
      <c r="A38" s="2"/>
      <c r="B38" s="2"/>
      <c r="C38" s="2"/>
      <c r="D38" s="2"/>
      <c r="E38" s="2"/>
      <c r="F38" s="2"/>
      <c r="G38" s="2"/>
      <c r="H38" s="2"/>
      <c r="I38" s="8" t="s">
        <v>35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9"/>
      <c r="U38" s="9"/>
      <c r="V38" s="9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15.6" x14ac:dyDescent="0.3">
      <c r="A39" s="2"/>
      <c r="B39" s="2"/>
      <c r="C39" s="2"/>
      <c r="D39" s="2"/>
      <c r="E39" s="2"/>
      <c r="F39" s="2"/>
      <c r="G39" s="2"/>
      <c r="H39" s="2"/>
      <c r="I39" s="7" t="s">
        <v>18</v>
      </c>
      <c r="J39" s="7" t="s">
        <v>39</v>
      </c>
      <c r="K39" s="7" t="s">
        <v>19</v>
      </c>
      <c r="L39" s="6" t="s">
        <v>20</v>
      </c>
      <c r="M39" s="2"/>
      <c r="N39" s="2"/>
      <c r="O39" s="2"/>
      <c r="P39" s="2"/>
      <c r="Q39" s="2"/>
      <c r="R39" s="2"/>
      <c r="S39" s="2"/>
      <c r="T39" s="9"/>
      <c r="U39" s="9"/>
      <c r="V39" s="9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15.6" x14ac:dyDescent="0.3">
      <c r="A40" s="2"/>
      <c r="B40" s="2"/>
      <c r="C40" s="2"/>
      <c r="D40" s="2"/>
      <c r="E40" s="2"/>
      <c r="F40" s="2"/>
      <c r="G40" s="2"/>
      <c r="H40" s="2"/>
      <c r="I40" s="5">
        <v>1509000</v>
      </c>
      <c r="J40" s="4">
        <v>9510</v>
      </c>
      <c r="K40" s="4">
        <v>0</v>
      </c>
      <c r="L40" s="3">
        <v>2397.346</v>
      </c>
      <c r="M40" s="2"/>
      <c r="N40" s="2"/>
      <c r="O40" s="2"/>
      <c r="P40" s="2"/>
      <c r="Q40" s="2"/>
      <c r="R40" s="2"/>
      <c r="S40" s="2"/>
      <c r="T40" s="9"/>
      <c r="U40" s="9"/>
      <c r="V40" s="9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15.6" x14ac:dyDescent="0.3">
      <c r="A41" s="2"/>
      <c r="B41" s="2"/>
      <c r="C41" s="2"/>
      <c r="D41" s="2"/>
      <c r="E41" s="2"/>
      <c r="F41" s="2"/>
      <c r="G41" s="2"/>
      <c r="H41" s="2"/>
      <c r="I41" s="5">
        <v>1509010</v>
      </c>
      <c r="J41" s="4">
        <v>9510</v>
      </c>
      <c r="K41" s="4">
        <v>111.751</v>
      </c>
      <c r="L41" s="3">
        <v>2393.1260000000002</v>
      </c>
      <c r="M41" s="2"/>
      <c r="N41" s="2"/>
      <c r="O41" s="2"/>
      <c r="P41" s="2"/>
      <c r="Q41" s="2"/>
      <c r="R41" s="2"/>
      <c r="S41" s="2"/>
      <c r="T41" s="9"/>
      <c r="U41" s="9"/>
      <c r="V41" s="9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15.6" x14ac:dyDescent="0.3">
      <c r="A42" s="2"/>
      <c r="B42" s="2"/>
      <c r="C42" s="2"/>
      <c r="D42" s="2"/>
      <c r="E42" s="2"/>
      <c r="F42" s="2"/>
      <c r="G42" s="2"/>
      <c r="H42" s="2"/>
      <c r="I42" s="5">
        <v>1509015</v>
      </c>
      <c r="J42" s="4">
        <v>9510</v>
      </c>
      <c r="K42" s="4">
        <v>-111.751</v>
      </c>
      <c r="L42" s="3">
        <v>2393.1260000000002</v>
      </c>
      <c r="M42" s="2"/>
      <c r="N42" s="2"/>
      <c r="O42" s="2"/>
      <c r="P42" s="2"/>
      <c r="Q42" s="2"/>
      <c r="R42" s="2"/>
      <c r="S42" s="2"/>
      <c r="T42" s="9"/>
      <c r="U42" s="9"/>
      <c r="V42" s="9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ht="15.6" x14ac:dyDescent="0.3">
      <c r="A43" s="2"/>
      <c r="B43" s="2"/>
      <c r="C43" s="2"/>
      <c r="D43" s="2"/>
      <c r="E43" s="2"/>
      <c r="F43" s="2"/>
      <c r="G43" s="2"/>
      <c r="H43" s="2"/>
      <c r="I43" s="5">
        <v>1509040</v>
      </c>
      <c r="J43" s="4">
        <v>9510</v>
      </c>
      <c r="K43" s="4">
        <v>362.19</v>
      </c>
      <c r="L43" s="3">
        <v>2343.33</v>
      </c>
      <c r="M43" s="2"/>
      <c r="N43" s="2"/>
      <c r="O43" s="2"/>
      <c r="P43" s="2"/>
      <c r="Q43" s="2"/>
      <c r="R43" s="2"/>
      <c r="S43" s="2"/>
      <c r="T43" s="9"/>
      <c r="U43" s="9"/>
      <c r="V43" s="9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15.6" x14ac:dyDescent="0.3">
      <c r="A44" s="2"/>
      <c r="B44" s="2"/>
      <c r="C44" s="2"/>
      <c r="D44" s="2"/>
      <c r="E44" s="2"/>
      <c r="F44" s="2"/>
      <c r="G44" s="2"/>
      <c r="H44" s="2"/>
      <c r="I44" s="5">
        <v>1509045</v>
      </c>
      <c r="J44" s="4">
        <v>9510</v>
      </c>
      <c r="K44" s="4">
        <v>-362.19189999999998</v>
      </c>
      <c r="L44" s="3">
        <v>2343.3319999999999</v>
      </c>
      <c r="M44" s="2"/>
      <c r="N44" s="2"/>
      <c r="O44" s="2"/>
      <c r="P44" s="2"/>
      <c r="Q44" s="2"/>
      <c r="R44" s="2"/>
      <c r="S44" s="2"/>
      <c r="T44" s="9"/>
      <c r="U44" s="9"/>
      <c r="V44" s="9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15.6" x14ac:dyDescent="0.3">
      <c r="A45" s="2"/>
      <c r="B45" s="2"/>
      <c r="C45" s="2"/>
      <c r="D45" s="2"/>
      <c r="E45" s="2"/>
      <c r="F45" s="2"/>
      <c r="G45" s="2"/>
      <c r="H45" s="2"/>
      <c r="I45" s="5">
        <v>1509050</v>
      </c>
      <c r="J45" s="4">
        <v>9510</v>
      </c>
      <c r="K45" s="4">
        <v>590.80499999999995</v>
      </c>
      <c r="L45" s="3">
        <v>2274.9059999999999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15.6" x14ac:dyDescent="0.3">
      <c r="A46" s="2"/>
      <c r="B46" s="2"/>
      <c r="C46" s="2"/>
      <c r="D46" s="2"/>
      <c r="E46" s="2"/>
      <c r="F46" s="2"/>
      <c r="G46" s="2"/>
      <c r="H46" s="2"/>
      <c r="I46" s="5">
        <v>1509055</v>
      </c>
      <c r="J46" s="4">
        <v>9510</v>
      </c>
      <c r="K46" s="4">
        <v>-590.80499999999995</v>
      </c>
      <c r="L46" s="3">
        <v>2274.9059999999999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15.6" x14ac:dyDescent="0.3">
      <c r="A47" s="2"/>
      <c r="B47" s="2"/>
      <c r="C47" s="2"/>
      <c r="D47" s="2"/>
      <c r="E47" s="2"/>
      <c r="F47" s="2"/>
      <c r="G47" s="2"/>
      <c r="H47" s="2"/>
      <c r="I47" s="5">
        <v>1509060</v>
      </c>
      <c r="J47" s="4">
        <v>9510</v>
      </c>
      <c r="K47" s="4">
        <v>853.14400000000001</v>
      </c>
      <c r="L47" s="3">
        <v>2134.2809999999999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ht="15.6" x14ac:dyDescent="0.3">
      <c r="A48" s="2"/>
      <c r="B48" s="2"/>
      <c r="C48" s="2"/>
      <c r="D48" s="2"/>
      <c r="E48" s="2"/>
      <c r="F48" s="2"/>
      <c r="G48" s="2"/>
      <c r="H48" s="2"/>
      <c r="I48" s="5">
        <v>1509065</v>
      </c>
      <c r="J48" s="4">
        <v>9510</v>
      </c>
      <c r="K48" s="4">
        <v>-853.14400000000001</v>
      </c>
      <c r="L48" s="3">
        <v>2134.2809999999999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15.6" x14ac:dyDescent="0.3">
      <c r="A49" s="2"/>
      <c r="B49" s="2"/>
      <c r="C49" s="2"/>
      <c r="D49" s="2"/>
      <c r="E49" s="2"/>
      <c r="F49" s="2"/>
      <c r="G49" s="2"/>
      <c r="H49" s="2"/>
      <c r="I49" s="5">
        <v>1509070</v>
      </c>
      <c r="J49" s="4">
        <v>9510</v>
      </c>
      <c r="K49" s="4">
        <v>1069.3920000000001</v>
      </c>
      <c r="L49" s="3">
        <v>1970.2840000000001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5.6" x14ac:dyDescent="0.3">
      <c r="A50" s="2"/>
      <c r="B50" s="2"/>
      <c r="C50" s="2"/>
      <c r="D50" s="2"/>
      <c r="E50" s="2"/>
      <c r="F50" s="2"/>
      <c r="G50" s="2"/>
      <c r="H50" s="2"/>
      <c r="I50" s="5">
        <v>1509075</v>
      </c>
      <c r="J50" s="4">
        <v>9510</v>
      </c>
      <c r="K50" s="4">
        <v>-1069.3920000000001</v>
      </c>
      <c r="L50" s="3">
        <v>1970.2840000000001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5.6" x14ac:dyDescent="0.3">
      <c r="A51" s="2"/>
      <c r="B51" s="2"/>
      <c r="C51" s="2"/>
      <c r="D51" s="2"/>
      <c r="E51" s="2"/>
      <c r="F51" s="2"/>
      <c r="G51" s="2"/>
      <c r="H51" s="2"/>
      <c r="I51" s="5">
        <v>1509080</v>
      </c>
      <c r="J51" s="4">
        <v>9510</v>
      </c>
      <c r="K51" s="4">
        <v>1248.693</v>
      </c>
      <c r="L51" s="3">
        <v>1793.9770000000001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5.6" x14ac:dyDescent="0.3">
      <c r="A52" s="2"/>
      <c r="B52" s="2"/>
      <c r="C52" s="2"/>
      <c r="D52" s="2"/>
      <c r="E52" s="2"/>
      <c r="F52" s="2"/>
      <c r="G52" s="2"/>
      <c r="H52" s="2"/>
      <c r="I52" s="5">
        <v>1509085</v>
      </c>
      <c r="J52" s="4">
        <v>9510</v>
      </c>
      <c r="K52" s="4">
        <v>-1248.693</v>
      </c>
      <c r="L52" s="3">
        <v>1793.9770000000001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5.6" x14ac:dyDescent="0.3">
      <c r="A53" s="2"/>
      <c r="B53" s="2"/>
      <c r="C53" s="2"/>
      <c r="D53" s="2"/>
      <c r="E53" s="2"/>
      <c r="F53" s="2"/>
      <c r="G53" s="2"/>
      <c r="H53" s="2"/>
      <c r="I53" s="5">
        <v>1509090</v>
      </c>
      <c r="J53" s="4">
        <v>9510</v>
      </c>
      <c r="K53" s="4">
        <v>1405.152</v>
      </c>
      <c r="L53" s="3">
        <v>1600.953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5.6" x14ac:dyDescent="0.3">
      <c r="A54" s="2"/>
      <c r="B54" s="2"/>
      <c r="C54" s="2"/>
      <c r="D54" s="2"/>
      <c r="E54" s="2"/>
      <c r="F54" s="2"/>
      <c r="G54" s="2"/>
      <c r="H54" s="2"/>
      <c r="I54" s="5">
        <v>1509095</v>
      </c>
      <c r="J54" s="4">
        <v>9510</v>
      </c>
      <c r="K54" s="4">
        <v>-1405.152</v>
      </c>
      <c r="L54" s="3">
        <v>1600.953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5.6" x14ac:dyDescent="0.3">
      <c r="A55" s="2"/>
      <c r="B55" s="2"/>
      <c r="C55" s="2"/>
      <c r="D55" s="2"/>
      <c r="E55" s="2"/>
      <c r="F55" s="2"/>
      <c r="G55" s="2"/>
      <c r="H55" s="2"/>
      <c r="I55" s="5">
        <v>1509100</v>
      </c>
      <c r="J55" s="4">
        <v>9510</v>
      </c>
      <c r="K55" s="4">
        <v>1539.211</v>
      </c>
      <c r="L55" s="3">
        <v>1393.837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15.6" x14ac:dyDescent="0.3">
      <c r="A56" s="2"/>
      <c r="B56" s="2"/>
      <c r="C56" s="2"/>
      <c r="D56" s="2"/>
      <c r="E56" s="2"/>
      <c r="F56" s="2"/>
      <c r="G56" s="2"/>
      <c r="H56" s="2"/>
      <c r="I56" s="5">
        <v>1509105</v>
      </c>
      <c r="J56" s="4">
        <v>9510</v>
      </c>
      <c r="K56" s="4">
        <v>-1539.211</v>
      </c>
      <c r="L56" s="3">
        <v>1393.837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15.6" x14ac:dyDescent="0.3">
      <c r="A57" s="2"/>
      <c r="B57" s="2"/>
      <c r="C57" s="2"/>
      <c r="D57" s="2"/>
      <c r="E57" s="2"/>
      <c r="F57" s="2"/>
      <c r="G57" s="2"/>
      <c r="H57" s="2"/>
      <c r="I57" s="5">
        <v>1509110</v>
      </c>
      <c r="J57" s="4">
        <v>9510</v>
      </c>
      <c r="K57" s="4">
        <v>1652.9369999999999</v>
      </c>
      <c r="L57" s="3">
        <v>1168.502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15.6" x14ac:dyDescent="0.3">
      <c r="A58" s="2"/>
      <c r="B58" s="2"/>
      <c r="C58" s="2"/>
      <c r="D58" s="2"/>
      <c r="E58" s="2"/>
      <c r="F58" s="2"/>
      <c r="G58" s="2"/>
      <c r="H58" s="2"/>
      <c r="I58" s="5">
        <v>1509115</v>
      </c>
      <c r="J58" s="4">
        <v>9510</v>
      </c>
      <c r="K58" s="4">
        <v>-1652.9369999999999</v>
      </c>
      <c r="L58" s="3">
        <v>1168.502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ht="15.6" x14ac:dyDescent="0.3">
      <c r="A59" s="2"/>
      <c r="B59" s="2"/>
      <c r="C59" s="2"/>
      <c r="D59" s="2"/>
      <c r="E59" s="2"/>
      <c r="F59" s="2"/>
      <c r="G59" s="2"/>
      <c r="H59" s="2"/>
      <c r="I59" s="5">
        <v>1509120</v>
      </c>
      <c r="J59" s="4">
        <v>9510</v>
      </c>
      <c r="K59" s="4">
        <v>1739.903</v>
      </c>
      <c r="L59" s="3">
        <v>934.43799999999999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15.6" x14ac:dyDescent="0.3">
      <c r="A60" s="2"/>
      <c r="B60" s="2"/>
      <c r="C60" s="2"/>
      <c r="D60" s="2"/>
      <c r="E60" s="2"/>
      <c r="F60" s="2"/>
      <c r="G60" s="2"/>
      <c r="H60" s="2"/>
      <c r="I60" s="5">
        <v>1509125</v>
      </c>
      <c r="J60" s="4">
        <v>9510</v>
      </c>
      <c r="K60" s="4">
        <v>-1739.903</v>
      </c>
      <c r="L60" s="3">
        <v>934.43799999999999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15.6" x14ac:dyDescent="0.3">
      <c r="A61" s="2"/>
      <c r="B61" s="2"/>
      <c r="C61" s="2"/>
      <c r="D61" s="2"/>
      <c r="E61" s="2"/>
      <c r="F61" s="2"/>
      <c r="G61" s="2"/>
      <c r="H61" s="2"/>
      <c r="I61" s="5">
        <v>1509130</v>
      </c>
      <c r="J61" s="4">
        <v>9510</v>
      </c>
      <c r="K61" s="4">
        <v>1798.0039999999999</v>
      </c>
      <c r="L61" s="3">
        <v>695.02599999999995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5.6" x14ac:dyDescent="0.3">
      <c r="A62" s="2"/>
      <c r="B62" s="2"/>
      <c r="C62" s="2"/>
      <c r="D62" s="2"/>
      <c r="E62" s="2"/>
      <c r="F62" s="2"/>
      <c r="G62" s="2"/>
      <c r="H62" s="2"/>
      <c r="I62" s="5">
        <v>1509135</v>
      </c>
      <c r="J62" s="4">
        <v>9510</v>
      </c>
      <c r="K62" s="4">
        <v>-1798.0039999999999</v>
      </c>
      <c r="L62" s="3">
        <v>695.02599999999995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5.6" x14ac:dyDescent="0.3">
      <c r="A63" s="2"/>
      <c r="B63" s="2"/>
      <c r="C63" s="2"/>
      <c r="D63" s="2"/>
      <c r="E63" s="2"/>
      <c r="F63" s="2"/>
      <c r="G63" s="2"/>
      <c r="H63" s="2"/>
      <c r="I63" s="5">
        <v>1509140</v>
      </c>
      <c r="J63" s="4">
        <v>9510</v>
      </c>
      <c r="K63" s="4">
        <v>1826.7239999999999</v>
      </c>
      <c r="L63" s="3">
        <v>450.09699999999998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15.6" x14ac:dyDescent="0.3">
      <c r="A64" s="2"/>
      <c r="B64" s="2"/>
      <c r="C64" s="2"/>
      <c r="D64" s="2"/>
      <c r="E64" s="2"/>
      <c r="F64" s="2"/>
      <c r="G64" s="2"/>
      <c r="H64" s="2"/>
      <c r="I64" s="5">
        <v>1509145</v>
      </c>
      <c r="J64" s="4">
        <v>9510</v>
      </c>
      <c r="K64" s="4">
        <v>-1826.7239999999999</v>
      </c>
      <c r="L64" s="3">
        <v>450.09699999999998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5.6" x14ac:dyDescent="0.3">
      <c r="A65" s="2"/>
      <c r="B65" s="2"/>
      <c r="C65" s="2"/>
      <c r="D65" s="2"/>
      <c r="E65" s="2"/>
      <c r="F65" s="2"/>
      <c r="G65" s="2"/>
      <c r="H65" s="2"/>
      <c r="I65" s="5">
        <v>1509150</v>
      </c>
      <c r="J65" s="4">
        <v>9510</v>
      </c>
      <c r="K65" s="4">
        <v>1827.3510000000001</v>
      </c>
      <c r="L65" s="3">
        <v>206.45099999999999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5.6" x14ac:dyDescent="0.3">
      <c r="A66" s="2"/>
      <c r="B66" s="2"/>
      <c r="C66" s="2"/>
      <c r="D66" s="2"/>
      <c r="E66" s="2"/>
      <c r="F66" s="2"/>
      <c r="G66" s="2"/>
      <c r="H66" s="2"/>
      <c r="I66" s="5">
        <v>1509155</v>
      </c>
      <c r="J66" s="4">
        <v>9510</v>
      </c>
      <c r="K66" s="4">
        <v>-1827.3510000000001</v>
      </c>
      <c r="L66" s="3">
        <v>206.45099999999999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5.6" x14ac:dyDescent="0.3">
      <c r="A67" s="2"/>
      <c r="B67" s="2"/>
      <c r="C67" s="2"/>
      <c r="D67" s="2"/>
      <c r="E67" s="2"/>
      <c r="F67" s="2"/>
      <c r="G67" s="2"/>
      <c r="H67" s="2"/>
      <c r="I67" s="5">
        <v>1509160</v>
      </c>
      <c r="J67" s="4">
        <v>9510</v>
      </c>
      <c r="K67" s="4">
        <v>1798.65</v>
      </c>
      <c r="L67" s="3">
        <v>-9.7149999999999999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5.6" x14ac:dyDescent="0.3">
      <c r="A68" s="2"/>
      <c r="B68" s="2"/>
      <c r="C68" s="2"/>
      <c r="D68" s="2"/>
      <c r="E68" s="2"/>
      <c r="F68" s="2"/>
      <c r="G68" s="2"/>
      <c r="H68" s="2"/>
      <c r="I68" s="5">
        <v>1509165</v>
      </c>
      <c r="J68" s="4">
        <v>9510</v>
      </c>
      <c r="K68" s="4">
        <v>-1798.65</v>
      </c>
      <c r="L68" s="3">
        <v>-9.7149999999999999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5.6" x14ac:dyDescent="0.3">
      <c r="A69" s="2"/>
      <c r="B69" s="2"/>
      <c r="C69" s="2"/>
      <c r="D69" s="2"/>
      <c r="E69" s="2"/>
      <c r="F69" s="2"/>
      <c r="G69" s="2"/>
      <c r="H69" s="2"/>
      <c r="I69" s="5">
        <v>1509170</v>
      </c>
      <c r="J69" s="4">
        <v>9510</v>
      </c>
      <c r="K69" s="4">
        <v>1750.9559999999999</v>
      </c>
      <c r="L69" s="3">
        <v>-208.517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ht="15.6" x14ac:dyDescent="0.3">
      <c r="A70" s="2"/>
      <c r="B70" s="2"/>
      <c r="C70" s="2"/>
      <c r="D70" s="2"/>
      <c r="E70" s="2"/>
      <c r="F70" s="2"/>
      <c r="G70" s="2"/>
      <c r="H70" s="2"/>
      <c r="I70" s="5">
        <v>1509175</v>
      </c>
      <c r="J70" s="4">
        <v>9510</v>
      </c>
      <c r="K70" s="4">
        <v>-1750.9559999999999</v>
      </c>
      <c r="L70" s="3">
        <v>-208.517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15.6" x14ac:dyDescent="0.3">
      <c r="A71" s="2"/>
      <c r="B71" s="2"/>
      <c r="C71" s="2"/>
      <c r="D71" s="2"/>
      <c r="E71" s="2"/>
      <c r="F71" s="2"/>
      <c r="G71" s="2"/>
      <c r="H71" s="2"/>
      <c r="I71" s="5">
        <v>1509180</v>
      </c>
      <c r="J71" s="4">
        <v>9510</v>
      </c>
      <c r="K71" s="4">
        <v>1670.4939999999999</v>
      </c>
      <c r="L71" s="3">
        <v>-432.59199999999998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ht="15.6" x14ac:dyDescent="0.3">
      <c r="A72" s="2"/>
      <c r="B72" s="2"/>
      <c r="C72" s="2"/>
      <c r="D72" s="2"/>
      <c r="E72" s="2"/>
      <c r="F72" s="2"/>
      <c r="G72" s="2"/>
      <c r="H72" s="2"/>
      <c r="I72" s="5">
        <v>1509185</v>
      </c>
      <c r="J72" s="4">
        <v>9510</v>
      </c>
      <c r="K72" s="4">
        <v>-1670.4939999999999</v>
      </c>
      <c r="L72" s="3">
        <v>-432.59199999999998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5.6" x14ac:dyDescent="0.3">
      <c r="A73" s="2"/>
      <c r="B73" s="2"/>
      <c r="C73" s="2"/>
      <c r="D73" s="2"/>
      <c r="E73" s="2"/>
      <c r="F73" s="2"/>
      <c r="G73" s="2"/>
      <c r="H73" s="2"/>
      <c r="I73" s="5">
        <v>1509190</v>
      </c>
      <c r="J73" s="4">
        <v>9510</v>
      </c>
      <c r="K73" s="4">
        <v>1564.972</v>
      </c>
      <c r="L73" s="3">
        <v>-646.89800000000002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5.6" x14ac:dyDescent="0.3">
      <c r="A74" s="2"/>
      <c r="B74" s="2"/>
      <c r="C74" s="2"/>
      <c r="D74" s="2"/>
      <c r="E74" s="2"/>
      <c r="F74" s="2"/>
      <c r="G74" s="2"/>
      <c r="H74" s="2"/>
      <c r="I74" s="5">
        <v>1509195</v>
      </c>
      <c r="J74" s="4">
        <v>9510</v>
      </c>
      <c r="K74" s="4">
        <v>-1564.972</v>
      </c>
      <c r="L74" s="3">
        <v>-646.89800000000002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5.6" x14ac:dyDescent="0.3">
      <c r="A75" s="2"/>
      <c r="B75" s="2"/>
      <c r="C75" s="2"/>
      <c r="D75" s="2"/>
      <c r="E75" s="2"/>
      <c r="F75" s="2"/>
      <c r="G75" s="2"/>
      <c r="H75" s="2"/>
      <c r="I75" s="5">
        <v>1509200</v>
      </c>
      <c r="J75" s="4">
        <v>9510</v>
      </c>
      <c r="K75" s="4">
        <v>1436.2370000000001</v>
      </c>
      <c r="L75" s="3">
        <v>-848.78599999999994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5.6" x14ac:dyDescent="0.3">
      <c r="A76" s="2"/>
      <c r="B76" s="2"/>
      <c r="C76" s="2"/>
      <c r="D76" s="2"/>
      <c r="E76" s="2"/>
      <c r="F76" s="2"/>
      <c r="G76" s="2"/>
      <c r="H76" s="2"/>
      <c r="I76" s="5">
        <v>1509205</v>
      </c>
      <c r="J76" s="4">
        <v>9510</v>
      </c>
      <c r="K76" s="4">
        <v>-1436.2370000000001</v>
      </c>
      <c r="L76" s="3">
        <v>-848.78599999999994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5.6" x14ac:dyDescent="0.3">
      <c r="A77" s="2"/>
      <c r="B77" s="2"/>
      <c r="C77" s="2"/>
      <c r="D77" s="2"/>
      <c r="E77" s="2"/>
      <c r="F77" s="2"/>
      <c r="G77" s="2"/>
      <c r="H77" s="2"/>
      <c r="I77" s="5">
        <v>1509210</v>
      </c>
      <c r="J77" s="4">
        <v>9510</v>
      </c>
      <c r="K77" s="4">
        <v>1286.1980000000001</v>
      </c>
      <c r="L77" s="3">
        <v>-1035.8499999999999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5.6" x14ac:dyDescent="0.3">
      <c r="A78" s="2"/>
      <c r="B78" s="2"/>
      <c r="C78" s="2"/>
      <c r="D78" s="2"/>
      <c r="E78" s="2"/>
      <c r="F78" s="2"/>
      <c r="G78" s="2"/>
      <c r="H78" s="2"/>
      <c r="I78" s="5">
        <v>1509215</v>
      </c>
      <c r="J78" s="4">
        <v>9510</v>
      </c>
      <c r="K78" s="4">
        <v>-1286.1980000000001</v>
      </c>
      <c r="L78" s="3">
        <v>-1035.8499999999999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15.6" x14ac:dyDescent="0.3">
      <c r="A79" s="2"/>
      <c r="B79" s="2"/>
      <c r="C79" s="2"/>
      <c r="D79" s="2"/>
      <c r="E79" s="2"/>
      <c r="F79" s="2"/>
      <c r="G79" s="2"/>
      <c r="H79" s="2"/>
      <c r="I79" s="5">
        <v>1509220</v>
      </c>
      <c r="J79" s="4">
        <v>9510</v>
      </c>
      <c r="K79" s="4">
        <v>1118.606</v>
      </c>
      <c r="L79" s="3">
        <v>-1203.3019999999999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15.6" x14ac:dyDescent="0.3">
      <c r="A80" s="2"/>
      <c r="B80" s="2"/>
      <c r="C80" s="2"/>
      <c r="D80" s="2"/>
      <c r="E80" s="2"/>
      <c r="F80" s="2"/>
      <c r="G80" s="2"/>
      <c r="H80" s="2"/>
      <c r="I80" s="5">
        <v>1509225</v>
      </c>
      <c r="J80" s="4">
        <v>9510</v>
      </c>
      <c r="K80" s="4">
        <v>-1118.606</v>
      </c>
      <c r="L80" s="3">
        <v>-1203.3019999999999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15.6" x14ac:dyDescent="0.3">
      <c r="A81" s="2"/>
      <c r="B81" s="2"/>
      <c r="C81" s="2"/>
      <c r="D81" s="2"/>
      <c r="E81" s="2"/>
      <c r="F81" s="2"/>
      <c r="G81" s="2"/>
      <c r="H81" s="2"/>
      <c r="I81" s="5">
        <v>1509230</v>
      </c>
      <c r="J81" s="4">
        <v>9510</v>
      </c>
      <c r="K81" s="4">
        <v>929.45799999999997</v>
      </c>
      <c r="L81" s="3">
        <v>-1346.6479999999999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15.6" x14ac:dyDescent="0.3">
      <c r="A82" s="2"/>
      <c r="B82" s="2"/>
      <c r="C82" s="2"/>
      <c r="D82" s="2"/>
      <c r="E82" s="2"/>
      <c r="F82" s="2"/>
      <c r="G82" s="2"/>
      <c r="H82" s="2"/>
      <c r="I82" s="5">
        <v>1509235</v>
      </c>
      <c r="J82" s="4">
        <v>9510</v>
      </c>
      <c r="K82" s="4">
        <v>-929.45799999999997</v>
      </c>
      <c r="L82" s="3">
        <v>-1346.6479999999999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15.6" x14ac:dyDescent="0.3">
      <c r="A83" s="2"/>
      <c r="B83" s="2"/>
      <c r="C83" s="2"/>
      <c r="D83" s="2"/>
      <c r="E83" s="2"/>
      <c r="F83" s="2"/>
      <c r="G83" s="2"/>
      <c r="H83" s="2"/>
      <c r="I83" s="5">
        <v>1509240</v>
      </c>
      <c r="J83" s="4">
        <v>9510</v>
      </c>
      <c r="K83" s="4">
        <v>722.077</v>
      </c>
      <c r="L83" s="3">
        <v>-1463.2650000000001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15.6" x14ac:dyDescent="0.3">
      <c r="A84" s="2"/>
      <c r="B84" s="2"/>
      <c r="C84" s="2"/>
      <c r="D84" s="2"/>
      <c r="E84" s="2"/>
      <c r="F84" s="2"/>
      <c r="G84" s="2"/>
      <c r="H84" s="2"/>
      <c r="I84" s="5">
        <v>1509245</v>
      </c>
      <c r="J84" s="4">
        <v>9510</v>
      </c>
      <c r="K84" s="4">
        <v>-722.077</v>
      </c>
      <c r="L84" s="3">
        <v>-1463.2650000000001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15.6" x14ac:dyDescent="0.3">
      <c r="A85" s="2"/>
      <c r="B85" s="2"/>
      <c r="C85" s="2"/>
      <c r="D85" s="2"/>
      <c r="E85" s="2"/>
      <c r="F85" s="2"/>
      <c r="G85" s="2"/>
      <c r="H85" s="2"/>
      <c r="I85" s="5">
        <v>1509250</v>
      </c>
      <c r="J85" s="4">
        <v>9510</v>
      </c>
      <c r="K85" s="4">
        <v>526.34199999999998</v>
      </c>
      <c r="L85" s="3">
        <v>-1542.422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15.6" x14ac:dyDescent="0.3">
      <c r="A86" s="2"/>
      <c r="B86" s="2"/>
      <c r="C86" s="2"/>
      <c r="D86" s="2"/>
      <c r="E86" s="2"/>
      <c r="F86" s="2"/>
      <c r="G86" s="2"/>
      <c r="H86" s="2"/>
      <c r="I86" s="5">
        <v>1509255</v>
      </c>
      <c r="J86" s="4">
        <v>9510</v>
      </c>
      <c r="K86" s="4">
        <v>-526.34199999999998</v>
      </c>
      <c r="L86" s="3">
        <v>-1542.422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15.6" x14ac:dyDescent="0.3">
      <c r="A87" s="2"/>
      <c r="B87" s="2"/>
      <c r="C87" s="2"/>
      <c r="D87" s="2"/>
      <c r="E87" s="2"/>
      <c r="F87" s="2"/>
      <c r="G87" s="2"/>
      <c r="H87" s="2"/>
      <c r="I87" s="5">
        <v>1509260</v>
      </c>
      <c r="J87" s="4">
        <v>9510</v>
      </c>
      <c r="K87" s="4">
        <v>321.93200000000002</v>
      </c>
      <c r="L87" s="3">
        <v>-1597.0070000000001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15.6" x14ac:dyDescent="0.3">
      <c r="A88" s="2"/>
      <c r="B88" s="2"/>
      <c r="C88" s="2"/>
      <c r="D88" s="2"/>
      <c r="E88" s="2"/>
      <c r="F88" s="2"/>
      <c r="G88" s="2"/>
      <c r="H88" s="2"/>
      <c r="I88" s="5">
        <v>1509265</v>
      </c>
      <c r="J88" s="4">
        <v>9510</v>
      </c>
      <c r="K88" s="4">
        <v>-321.93200000000002</v>
      </c>
      <c r="L88" s="3">
        <v>-1597.0070000000001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15.6" x14ac:dyDescent="0.3">
      <c r="A89" s="2"/>
      <c r="B89" s="2"/>
      <c r="C89" s="2"/>
      <c r="D89" s="2"/>
      <c r="E89" s="2"/>
      <c r="F89" s="2"/>
      <c r="G89" s="2"/>
      <c r="H89" s="2"/>
      <c r="I89" s="5">
        <v>1509270</v>
      </c>
      <c r="J89" s="4">
        <v>9510</v>
      </c>
      <c r="K89" s="4">
        <v>111.93899999999999</v>
      </c>
      <c r="L89" s="3">
        <v>-1625.2629999999999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15.6" x14ac:dyDescent="0.3">
      <c r="A90" s="2"/>
      <c r="B90" s="2"/>
      <c r="C90" s="2"/>
      <c r="D90" s="2"/>
      <c r="E90" s="2"/>
      <c r="F90" s="2"/>
      <c r="G90" s="2"/>
      <c r="H90" s="2"/>
      <c r="I90" s="5">
        <v>1509275</v>
      </c>
      <c r="J90" s="4">
        <v>9510</v>
      </c>
      <c r="K90" s="4">
        <v>-111.93899999999999</v>
      </c>
      <c r="L90" s="3">
        <v>-1625.2629999999999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5.6" x14ac:dyDescent="0.3">
      <c r="A91" s="2"/>
      <c r="B91" s="2"/>
      <c r="C91" s="2"/>
      <c r="D91" s="2"/>
      <c r="E91" s="2"/>
      <c r="F91" s="2"/>
      <c r="G91" s="2"/>
      <c r="H91" s="2"/>
      <c r="I91" s="5">
        <v>1509280</v>
      </c>
      <c r="J91" s="4">
        <v>9510</v>
      </c>
      <c r="K91" s="4">
        <v>0</v>
      </c>
      <c r="L91" s="3">
        <v>-1629.13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5.6" x14ac:dyDescent="0.3">
      <c r="A92" s="2"/>
      <c r="B92" s="2"/>
      <c r="C92" s="2"/>
      <c r="D92" s="2"/>
      <c r="E92" s="2"/>
      <c r="F92" s="2"/>
      <c r="G92" s="2"/>
      <c r="H92" s="2"/>
      <c r="I92" s="8" t="s">
        <v>36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5.6" x14ac:dyDescent="0.3">
      <c r="A93" s="2"/>
      <c r="B93" s="2"/>
      <c r="C93" s="2"/>
      <c r="D93" s="2"/>
      <c r="E93" s="2"/>
      <c r="F93" s="2"/>
      <c r="G93" s="2"/>
      <c r="H93" s="2"/>
      <c r="I93" s="7" t="s">
        <v>18</v>
      </c>
      <c r="J93" s="7" t="s">
        <v>39</v>
      </c>
      <c r="K93" s="7" t="s">
        <v>19</v>
      </c>
      <c r="L93" s="6" t="s">
        <v>20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5.6" x14ac:dyDescent="0.3">
      <c r="A94" s="2"/>
      <c r="B94" s="2"/>
      <c r="C94" s="2"/>
      <c r="D94" s="2"/>
      <c r="E94" s="2"/>
      <c r="F94" s="2"/>
      <c r="G94" s="2"/>
      <c r="H94" s="2"/>
      <c r="I94" s="5">
        <v>1513000</v>
      </c>
      <c r="J94" s="4">
        <v>11633</v>
      </c>
      <c r="K94" s="4">
        <v>0</v>
      </c>
      <c r="L94" s="3">
        <v>2571.5169999999998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5.6" x14ac:dyDescent="0.3">
      <c r="A95" s="2"/>
      <c r="B95" s="2"/>
      <c r="C95" s="2"/>
      <c r="D95" s="2"/>
      <c r="E95" s="2"/>
      <c r="F95" s="2"/>
      <c r="G95" s="2"/>
      <c r="H95" s="2"/>
      <c r="I95" s="5">
        <v>1513010</v>
      </c>
      <c r="J95" s="4">
        <v>11633</v>
      </c>
      <c r="K95" s="4">
        <v>122.42400000000001</v>
      </c>
      <c r="L95" s="3">
        <v>2567.779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15.6" x14ac:dyDescent="0.3">
      <c r="A96" s="2"/>
      <c r="B96" s="2"/>
      <c r="C96" s="2"/>
      <c r="D96" s="2"/>
      <c r="E96" s="2"/>
      <c r="F96" s="2"/>
      <c r="G96" s="2"/>
      <c r="H96" s="2"/>
      <c r="I96" s="5">
        <v>1513015</v>
      </c>
      <c r="J96" s="4">
        <v>11633</v>
      </c>
      <c r="K96" s="4">
        <v>-122.42400000000001</v>
      </c>
      <c r="L96" s="3">
        <v>2567.779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15.6" x14ac:dyDescent="0.3">
      <c r="A97" s="2"/>
      <c r="B97" s="2"/>
      <c r="C97" s="2"/>
      <c r="D97" s="2"/>
      <c r="E97" s="2"/>
      <c r="F97" s="2"/>
      <c r="G97" s="2"/>
      <c r="H97" s="2"/>
      <c r="I97" s="5">
        <v>1513020</v>
      </c>
      <c r="J97" s="4">
        <v>11633</v>
      </c>
      <c r="K97" s="4">
        <v>366.26799999999997</v>
      </c>
      <c r="L97" s="3">
        <v>2537.8040000000001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15.6" x14ac:dyDescent="0.3">
      <c r="A98" s="2"/>
      <c r="B98" s="2"/>
      <c r="C98" s="2"/>
      <c r="D98" s="2"/>
      <c r="E98" s="2"/>
      <c r="F98" s="2"/>
      <c r="G98" s="2"/>
      <c r="H98" s="2"/>
      <c r="I98" s="5">
        <v>1513025</v>
      </c>
      <c r="J98" s="4">
        <v>11633</v>
      </c>
      <c r="K98" s="4">
        <v>-366.26799999999997</v>
      </c>
      <c r="L98" s="3">
        <v>2537.8040000000001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15.6" x14ac:dyDescent="0.3">
      <c r="A99" s="2"/>
      <c r="B99" s="2"/>
      <c r="C99" s="2"/>
      <c r="D99" s="2"/>
      <c r="E99" s="2"/>
      <c r="F99" s="2"/>
      <c r="G99" s="2"/>
      <c r="H99" s="2"/>
      <c r="I99" s="5">
        <v>1513030</v>
      </c>
      <c r="J99" s="4">
        <v>11633</v>
      </c>
      <c r="K99" s="4">
        <v>604.61900000000003</v>
      </c>
      <c r="L99" s="3">
        <v>2478.2550000000001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15.6" x14ac:dyDescent="0.3">
      <c r="A100" s="2"/>
      <c r="B100" s="2"/>
      <c r="C100" s="2"/>
      <c r="D100" s="2"/>
      <c r="E100" s="2"/>
      <c r="F100" s="2"/>
      <c r="G100" s="2"/>
      <c r="H100" s="2"/>
      <c r="I100" s="5">
        <v>1513035</v>
      </c>
      <c r="J100" s="4">
        <v>11633</v>
      </c>
      <c r="K100" s="4">
        <v>-604.61900000000003</v>
      </c>
      <c r="L100" s="3">
        <v>2478.2550000000001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15.6" x14ac:dyDescent="0.3">
      <c r="A101" s="2"/>
      <c r="B101" s="2"/>
      <c r="C101" s="2"/>
      <c r="D101" s="2"/>
      <c r="E101" s="2"/>
      <c r="F101" s="2"/>
      <c r="G101" s="2"/>
      <c r="H101" s="2"/>
      <c r="I101" s="5">
        <v>1513040</v>
      </c>
      <c r="J101" s="4">
        <v>11633</v>
      </c>
      <c r="K101" s="4">
        <v>833.846</v>
      </c>
      <c r="L101" s="3">
        <v>2390.0509999999999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5.6" x14ac:dyDescent="0.3">
      <c r="A102" s="2"/>
      <c r="B102" s="2"/>
      <c r="C102" s="2"/>
      <c r="D102" s="2"/>
      <c r="E102" s="2"/>
      <c r="F102" s="2"/>
      <c r="G102" s="2"/>
      <c r="H102" s="2"/>
      <c r="I102" s="5">
        <v>1513045</v>
      </c>
      <c r="J102" s="4">
        <v>11633</v>
      </c>
      <c r="K102" s="4">
        <v>-833.846</v>
      </c>
      <c r="L102" s="3">
        <v>2390.0509999999999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15.6" x14ac:dyDescent="0.3">
      <c r="A103" s="2"/>
      <c r="B103" s="2"/>
      <c r="C103" s="2"/>
      <c r="D103" s="2"/>
      <c r="E103" s="2"/>
      <c r="F103" s="2"/>
      <c r="G103" s="2"/>
      <c r="H103" s="2"/>
      <c r="I103" s="5">
        <v>1513050</v>
      </c>
      <c r="J103" s="4">
        <v>11633</v>
      </c>
      <c r="K103" s="4">
        <v>1049.925</v>
      </c>
      <c r="L103" s="3">
        <v>2274.9059999999999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15.6" x14ac:dyDescent="0.3">
      <c r="A104" s="2"/>
      <c r="B104" s="2"/>
      <c r="C104" s="2"/>
      <c r="D104" s="2"/>
      <c r="E104" s="2"/>
      <c r="F104" s="2"/>
      <c r="G104" s="2"/>
      <c r="H104" s="2"/>
      <c r="I104" s="5">
        <v>1513055</v>
      </c>
      <c r="J104" s="4">
        <v>11633</v>
      </c>
      <c r="K104" s="4">
        <v>-1049.925</v>
      </c>
      <c r="L104" s="3">
        <v>2274.9059999999999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15.6" x14ac:dyDescent="0.3">
      <c r="A105" s="2"/>
      <c r="B105" s="2"/>
      <c r="C105" s="2"/>
      <c r="D105" s="2"/>
      <c r="E105" s="2"/>
      <c r="F105" s="2"/>
      <c r="G105" s="2"/>
      <c r="H105" s="2"/>
      <c r="I105" s="5">
        <v>1513060</v>
      </c>
      <c r="J105" s="4">
        <v>11633</v>
      </c>
      <c r="K105" s="4">
        <v>1250.404</v>
      </c>
      <c r="L105" s="3">
        <v>2134.2809999999999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15.6" x14ac:dyDescent="0.3">
      <c r="A106" s="2"/>
      <c r="B106" s="2"/>
      <c r="C106" s="2"/>
      <c r="D106" s="2"/>
      <c r="E106" s="2"/>
      <c r="F106" s="2"/>
      <c r="G106" s="2"/>
      <c r="H106" s="2"/>
      <c r="I106" s="5">
        <v>1513065</v>
      </c>
      <c r="J106" s="4">
        <v>11633</v>
      </c>
      <c r="K106" s="4">
        <v>-1250.404</v>
      </c>
      <c r="L106" s="3">
        <v>2134.2809999999999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15.6" x14ac:dyDescent="0.3">
      <c r="A107" s="2"/>
      <c r="B107" s="2"/>
      <c r="C107" s="2"/>
      <c r="D107" s="2"/>
      <c r="E107" s="2"/>
      <c r="F107" s="2"/>
      <c r="G107" s="2"/>
      <c r="H107" s="2"/>
      <c r="I107" s="5">
        <v>1513070</v>
      </c>
      <c r="J107" s="4">
        <v>11633</v>
      </c>
      <c r="K107" s="4">
        <v>1432.27</v>
      </c>
      <c r="L107" s="3">
        <v>1970.2840000000001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15.6" x14ac:dyDescent="0.3">
      <c r="A108" s="2"/>
      <c r="B108" s="2"/>
      <c r="C108" s="2"/>
      <c r="D108" s="2"/>
      <c r="E108" s="2"/>
      <c r="F108" s="2"/>
      <c r="G108" s="2"/>
      <c r="H108" s="2"/>
      <c r="I108" s="5">
        <v>1513075</v>
      </c>
      <c r="J108" s="4">
        <v>11633</v>
      </c>
      <c r="K108" s="4">
        <v>-1432.27</v>
      </c>
      <c r="L108" s="3">
        <v>1970.2840000000001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ht="15.6" x14ac:dyDescent="0.3">
      <c r="A109" s="2"/>
      <c r="B109" s="2"/>
      <c r="C109" s="2"/>
      <c r="D109" s="2"/>
      <c r="E109" s="2"/>
      <c r="F109" s="2"/>
      <c r="G109" s="2"/>
      <c r="H109" s="2"/>
      <c r="I109" s="5">
        <v>1513080</v>
      </c>
      <c r="J109" s="4">
        <v>11633</v>
      </c>
      <c r="K109" s="4">
        <v>1586.17</v>
      </c>
      <c r="L109" s="3">
        <v>1793.9770000000001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ht="15.6" x14ac:dyDescent="0.3">
      <c r="A110" s="2"/>
      <c r="B110" s="2"/>
      <c r="C110" s="2"/>
      <c r="D110" s="2"/>
      <c r="E110" s="2"/>
      <c r="F110" s="2"/>
      <c r="G110" s="2"/>
      <c r="H110" s="2"/>
      <c r="I110" s="5">
        <v>1513085</v>
      </c>
      <c r="J110" s="4">
        <v>11633</v>
      </c>
      <c r="K110" s="4">
        <v>-1586.17</v>
      </c>
      <c r="L110" s="3">
        <v>1793.9770000000001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ht="15.6" x14ac:dyDescent="0.3">
      <c r="A111" s="2"/>
      <c r="B111" s="2"/>
      <c r="C111" s="2"/>
      <c r="D111" s="2"/>
      <c r="E111" s="2"/>
      <c r="F111" s="2"/>
      <c r="G111" s="2"/>
      <c r="H111" s="2"/>
      <c r="I111" s="5">
        <v>1513090</v>
      </c>
      <c r="J111" s="4">
        <v>11633</v>
      </c>
      <c r="K111" s="4">
        <v>1718.5060000000001</v>
      </c>
      <c r="L111" s="3">
        <v>1600.953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15.6" x14ac:dyDescent="0.3">
      <c r="A112" s="2"/>
      <c r="B112" s="2"/>
      <c r="C112" s="2"/>
      <c r="D112" s="2"/>
      <c r="E112" s="2"/>
      <c r="F112" s="2"/>
      <c r="G112" s="2"/>
      <c r="H112" s="2"/>
      <c r="I112" s="5">
        <v>1513095</v>
      </c>
      <c r="J112" s="4">
        <v>11633</v>
      </c>
      <c r="K112" s="4">
        <v>-1718.5060000000001</v>
      </c>
      <c r="L112" s="3">
        <v>1600.953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15.6" x14ac:dyDescent="0.3">
      <c r="A113" s="2"/>
      <c r="B113" s="2"/>
      <c r="C113" s="2"/>
      <c r="D113" s="2"/>
      <c r="E113" s="2"/>
      <c r="F113" s="2"/>
      <c r="G113" s="2"/>
      <c r="H113" s="2"/>
      <c r="I113" s="5">
        <v>1513100</v>
      </c>
      <c r="J113" s="4">
        <v>11633</v>
      </c>
      <c r="K113" s="4">
        <v>1827.4780000000001</v>
      </c>
      <c r="L113" s="3">
        <v>1393.837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15.6" x14ac:dyDescent="0.3">
      <c r="A114" s="2"/>
      <c r="B114" s="2"/>
      <c r="C114" s="2"/>
      <c r="D114" s="2"/>
      <c r="E114" s="2"/>
      <c r="F114" s="2"/>
      <c r="G114" s="2"/>
      <c r="H114" s="2"/>
      <c r="I114" s="5">
        <v>1513105</v>
      </c>
      <c r="J114" s="4">
        <v>11633</v>
      </c>
      <c r="K114" s="4">
        <v>-1827.4780000000001</v>
      </c>
      <c r="L114" s="3">
        <v>1393.837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15.6" x14ac:dyDescent="0.3">
      <c r="A115" s="2"/>
      <c r="B115" s="2"/>
      <c r="C115" s="2"/>
      <c r="D115" s="2"/>
      <c r="E115" s="2"/>
      <c r="F115" s="2"/>
      <c r="G115" s="2"/>
      <c r="H115" s="2"/>
      <c r="I115" s="5">
        <v>1513110</v>
      </c>
      <c r="J115" s="4">
        <v>11633</v>
      </c>
      <c r="K115" s="4">
        <v>1913.807</v>
      </c>
      <c r="L115" s="3">
        <v>1168.502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15.6" x14ac:dyDescent="0.3">
      <c r="A116" s="2"/>
      <c r="B116" s="2"/>
      <c r="C116" s="2"/>
      <c r="D116" s="2"/>
      <c r="E116" s="2"/>
      <c r="F116" s="2"/>
      <c r="G116" s="2"/>
      <c r="H116" s="2"/>
      <c r="I116" s="5">
        <v>1513115</v>
      </c>
      <c r="J116" s="4">
        <v>11633</v>
      </c>
      <c r="K116" s="4">
        <v>-1913.807</v>
      </c>
      <c r="L116" s="3">
        <v>1168.502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15.6" x14ac:dyDescent="0.3">
      <c r="A117" s="2"/>
      <c r="B117" s="2"/>
      <c r="C117" s="2"/>
      <c r="D117" s="2"/>
      <c r="E117" s="2"/>
      <c r="F117" s="2"/>
      <c r="G117" s="2"/>
      <c r="H117" s="2"/>
      <c r="I117" s="5">
        <v>1513120</v>
      </c>
      <c r="J117" s="4">
        <v>11633</v>
      </c>
      <c r="K117" s="4">
        <v>1972.472</v>
      </c>
      <c r="L117" s="3">
        <v>934.43799999999999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15.6" x14ac:dyDescent="0.3">
      <c r="A118" s="2"/>
      <c r="B118" s="2"/>
      <c r="C118" s="2"/>
      <c r="D118" s="2"/>
      <c r="E118" s="2"/>
      <c r="F118" s="2"/>
      <c r="G118" s="2"/>
      <c r="H118" s="2"/>
      <c r="I118" s="5">
        <v>1513125</v>
      </c>
      <c r="J118" s="4">
        <v>11633</v>
      </c>
      <c r="K118" s="4">
        <v>-1972.472</v>
      </c>
      <c r="L118" s="3">
        <v>934.43799999999999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15.6" x14ac:dyDescent="0.3">
      <c r="A119" s="2"/>
      <c r="B119" s="2"/>
      <c r="C119" s="2"/>
      <c r="D119" s="2"/>
      <c r="E119" s="2"/>
      <c r="F119" s="2"/>
      <c r="G119" s="2"/>
      <c r="H119" s="2"/>
      <c r="I119" s="5">
        <v>1513130</v>
      </c>
      <c r="J119" s="4">
        <v>11633</v>
      </c>
      <c r="K119" s="4">
        <v>2002.625</v>
      </c>
      <c r="L119" s="3">
        <v>695.02599999999995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15.6" x14ac:dyDescent="0.3">
      <c r="A120" s="2"/>
      <c r="B120" s="2"/>
      <c r="C120" s="2"/>
      <c r="D120" s="2"/>
      <c r="E120" s="2"/>
      <c r="F120" s="2"/>
      <c r="G120" s="2"/>
      <c r="H120" s="2"/>
      <c r="I120" s="5">
        <v>1513135</v>
      </c>
      <c r="J120" s="4">
        <v>11633</v>
      </c>
      <c r="K120" s="4">
        <v>-2002.625</v>
      </c>
      <c r="L120" s="3">
        <v>695.02599999999995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15.6" x14ac:dyDescent="0.3">
      <c r="A121" s="2"/>
      <c r="B121" s="2"/>
      <c r="C121" s="2"/>
      <c r="D121" s="2"/>
      <c r="E121" s="2"/>
      <c r="F121" s="2"/>
      <c r="G121" s="2"/>
      <c r="H121" s="2"/>
      <c r="I121" s="5">
        <v>1513140</v>
      </c>
      <c r="J121" s="4">
        <v>11633</v>
      </c>
      <c r="K121" s="4">
        <v>2003.634</v>
      </c>
      <c r="L121" s="3">
        <v>450.09699999999998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15.6" x14ac:dyDescent="0.3">
      <c r="A122" s="2"/>
      <c r="B122" s="2"/>
      <c r="C122" s="2"/>
      <c r="D122" s="2"/>
      <c r="E122" s="2"/>
      <c r="F122" s="2"/>
      <c r="G122" s="2"/>
      <c r="H122" s="2"/>
      <c r="I122" s="5">
        <v>1513145</v>
      </c>
      <c r="J122" s="4">
        <v>11633</v>
      </c>
      <c r="K122" s="4">
        <v>-2003.634</v>
      </c>
      <c r="L122" s="3">
        <v>450.09699999999998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15.6" x14ac:dyDescent="0.3">
      <c r="A123" s="2"/>
      <c r="B123" s="2"/>
      <c r="C123" s="2"/>
      <c r="D123" s="2"/>
      <c r="E123" s="2"/>
      <c r="F123" s="2"/>
      <c r="G123" s="2"/>
      <c r="H123" s="2"/>
      <c r="I123" s="5">
        <v>1513150</v>
      </c>
      <c r="J123" s="4">
        <v>11633</v>
      </c>
      <c r="K123" s="4">
        <v>1978.0619999999999</v>
      </c>
      <c r="L123" s="3">
        <v>206.45099999999999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15.6" x14ac:dyDescent="0.3">
      <c r="A124" s="2"/>
      <c r="B124" s="2"/>
      <c r="C124" s="2"/>
      <c r="D124" s="2"/>
      <c r="E124" s="2"/>
      <c r="F124" s="2"/>
      <c r="G124" s="2"/>
      <c r="H124" s="2"/>
      <c r="I124" s="5">
        <v>1513155</v>
      </c>
      <c r="J124" s="4">
        <v>11633</v>
      </c>
      <c r="K124" s="4">
        <v>-1978.0619999999999</v>
      </c>
      <c r="L124" s="3">
        <v>206.45099999999999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15.6" x14ac:dyDescent="0.3">
      <c r="A125" s="2"/>
      <c r="B125" s="2"/>
      <c r="C125" s="2"/>
      <c r="D125" s="2"/>
      <c r="E125" s="2"/>
      <c r="F125" s="2"/>
      <c r="G125" s="2"/>
      <c r="H125" s="2"/>
      <c r="I125" s="5">
        <v>1513160</v>
      </c>
      <c r="J125" s="4">
        <v>11633</v>
      </c>
      <c r="K125" s="4">
        <v>1934.8409999999999</v>
      </c>
      <c r="L125" s="3">
        <v>-9.7149999999999999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15.6" x14ac:dyDescent="0.3">
      <c r="A126" s="2"/>
      <c r="B126" s="2"/>
      <c r="C126" s="2"/>
      <c r="D126" s="2"/>
      <c r="E126" s="2"/>
      <c r="F126" s="2"/>
      <c r="G126" s="2"/>
      <c r="H126" s="2"/>
      <c r="I126" s="5">
        <v>1513165</v>
      </c>
      <c r="J126" s="4">
        <v>11633</v>
      </c>
      <c r="K126" s="4">
        <v>-1934.8409999999999</v>
      </c>
      <c r="L126" s="3">
        <v>-9.7149999999999999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15.6" x14ac:dyDescent="0.3">
      <c r="A127" s="2"/>
      <c r="B127" s="2"/>
      <c r="C127" s="2"/>
      <c r="D127" s="2"/>
      <c r="E127" s="2"/>
      <c r="F127" s="2"/>
      <c r="G127" s="2"/>
      <c r="H127" s="2"/>
      <c r="I127" s="5">
        <v>1513170</v>
      </c>
      <c r="J127" s="4">
        <v>11633</v>
      </c>
      <c r="K127" s="4">
        <v>1863.383</v>
      </c>
      <c r="L127" s="3">
        <v>-248.36199999999999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15.6" x14ac:dyDescent="0.3">
      <c r="A128" s="2"/>
      <c r="B128" s="2"/>
      <c r="C128" s="2"/>
      <c r="D128" s="2"/>
      <c r="E128" s="2"/>
      <c r="F128" s="2"/>
      <c r="G128" s="2"/>
      <c r="H128" s="2"/>
      <c r="I128" s="5">
        <v>1513175</v>
      </c>
      <c r="J128" s="4">
        <v>11633</v>
      </c>
      <c r="K128" s="4">
        <v>-1863.383</v>
      </c>
      <c r="L128" s="3">
        <v>-248.36199999999999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15.6" x14ac:dyDescent="0.3">
      <c r="A129" s="2"/>
      <c r="B129" s="2"/>
      <c r="C129" s="2"/>
      <c r="D129" s="2"/>
      <c r="E129" s="2"/>
      <c r="F129" s="2"/>
      <c r="G129" s="2"/>
      <c r="H129" s="2"/>
      <c r="I129" s="5">
        <v>1513180</v>
      </c>
      <c r="J129" s="4">
        <v>11633</v>
      </c>
      <c r="K129" s="4">
        <v>1768.61</v>
      </c>
      <c r="L129" s="3">
        <v>-478.77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15.6" x14ac:dyDescent="0.3">
      <c r="A130" s="2"/>
      <c r="B130" s="2"/>
      <c r="C130" s="2"/>
      <c r="D130" s="2"/>
      <c r="E130" s="2"/>
      <c r="F130" s="2"/>
      <c r="G130" s="2"/>
      <c r="H130" s="2"/>
      <c r="I130" s="5">
        <v>1513185</v>
      </c>
      <c r="J130" s="4">
        <v>11633</v>
      </c>
      <c r="K130" s="4">
        <v>-1768.61</v>
      </c>
      <c r="L130" s="3">
        <v>-478.77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15.6" x14ac:dyDescent="0.3">
      <c r="A131" s="2"/>
      <c r="B131" s="2"/>
      <c r="C131" s="2"/>
      <c r="D131" s="2"/>
      <c r="E131" s="2"/>
      <c r="F131" s="2"/>
      <c r="G131" s="2"/>
      <c r="H131" s="2"/>
      <c r="I131" s="5">
        <v>1513190</v>
      </c>
      <c r="J131" s="4">
        <v>11633</v>
      </c>
      <c r="K131" s="4">
        <v>1651.461</v>
      </c>
      <c r="L131" s="3">
        <v>-698.64800000000002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15.6" x14ac:dyDescent="0.3">
      <c r="A132" s="2"/>
      <c r="B132" s="2"/>
      <c r="C132" s="2"/>
      <c r="D132" s="2"/>
      <c r="E132" s="2"/>
      <c r="F132" s="2"/>
      <c r="G132" s="2"/>
      <c r="H132" s="2"/>
      <c r="I132" s="5">
        <v>1513195</v>
      </c>
      <c r="J132" s="4">
        <v>11633</v>
      </c>
      <c r="K132" s="4">
        <v>-1651.461</v>
      </c>
      <c r="L132" s="3">
        <v>-698.64800000000002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15.6" x14ac:dyDescent="0.3">
      <c r="A133" s="2"/>
      <c r="B133" s="2"/>
      <c r="C133" s="2"/>
      <c r="D133" s="2"/>
      <c r="E133" s="2"/>
      <c r="F133" s="2"/>
      <c r="G133" s="2"/>
      <c r="H133" s="2"/>
      <c r="I133" s="5">
        <v>1513200</v>
      </c>
      <c r="J133" s="4">
        <v>11633</v>
      </c>
      <c r="K133" s="4">
        <v>1513.09</v>
      </c>
      <c r="L133" s="3">
        <v>-905.82799999999997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15.6" x14ac:dyDescent="0.3">
      <c r="A134" s="2"/>
      <c r="B134" s="2"/>
      <c r="C134" s="2"/>
      <c r="D134" s="2"/>
      <c r="E134" s="2"/>
      <c r="F134" s="2"/>
      <c r="G134" s="2"/>
      <c r="H134" s="2"/>
      <c r="I134" s="5">
        <v>1513205</v>
      </c>
      <c r="J134" s="4">
        <v>11633</v>
      </c>
      <c r="K134" s="4">
        <v>-1513.09</v>
      </c>
      <c r="L134" s="3">
        <v>-905.82799999999997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15.6" x14ac:dyDescent="0.3">
      <c r="A135" s="2"/>
      <c r="B135" s="2"/>
      <c r="C135" s="2"/>
      <c r="D135" s="2"/>
      <c r="E135" s="2"/>
      <c r="F135" s="2"/>
      <c r="G135" s="2"/>
      <c r="H135" s="2"/>
      <c r="I135" s="5">
        <v>1513210</v>
      </c>
      <c r="J135" s="4">
        <v>11633</v>
      </c>
      <c r="K135" s="4">
        <v>1354.86</v>
      </c>
      <c r="L135" s="3">
        <v>-1098.269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15.6" x14ac:dyDescent="0.3">
      <c r="A136" s="2"/>
      <c r="B136" s="2"/>
      <c r="C136" s="2"/>
      <c r="D136" s="2"/>
      <c r="E136" s="2"/>
      <c r="F136" s="2"/>
      <c r="G136" s="2"/>
      <c r="H136" s="2"/>
      <c r="I136" s="5">
        <v>1513215</v>
      </c>
      <c r="J136" s="4">
        <v>11633</v>
      </c>
      <c r="K136" s="4">
        <v>-1354.86</v>
      </c>
      <c r="L136" s="3">
        <v>-1098.269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15.6" x14ac:dyDescent="0.3">
      <c r="A137" s="2"/>
      <c r="B137" s="2"/>
      <c r="C137" s="2"/>
      <c r="D137" s="2"/>
      <c r="E137" s="2"/>
      <c r="F137" s="2"/>
      <c r="G137" s="2"/>
      <c r="H137" s="2"/>
      <c r="I137" s="5">
        <v>1513220</v>
      </c>
      <c r="J137" s="4">
        <v>11633</v>
      </c>
      <c r="K137" s="4">
        <v>1175.4860000000001</v>
      </c>
      <c r="L137" s="3">
        <v>-1271.039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15.6" x14ac:dyDescent="0.3">
      <c r="A138" s="2"/>
      <c r="B138" s="2"/>
      <c r="C138" s="2"/>
      <c r="D138" s="2"/>
      <c r="E138" s="2"/>
      <c r="F138" s="2"/>
      <c r="G138" s="2"/>
      <c r="H138" s="2"/>
      <c r="I138" s="5">
        <v>1513225</v>
      </c>
      <c r="J138" s="4">
        <v>11633</v>
      </c>
      <c r="K138" s="4">
        <v>-1175.4860000000001</v>
      </c>
      <c r="L138" s="3">
        <v>-1271.039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15.6" x14ac:dyDescent="0.3">
      <c r="A139" s="2"/>
      <c r="B139" s="2"/>
      <c r="C139" s="2"/>
      <c r="D139" s="2"/>
      <c r="E139" s="2"/>
      <c r="F139" s="2"/>
      <c r="G139" s="2"/>
      <c r="H139" s="2"/>
      <c r="I139" s="5">
        <v>1513230</v>
      </c>
      <c r="J139" s="4">
        <v>11633</v>
      </c>
      <c r="K139" s="4">
        <v>974.30100000000004</v>
      </c>
      <c r="L139" s="3">
        <v>-1417.8330000000001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15.6" x14ac:dyDescent="0.3">
      <c r="A140" s="2"/>
      <c r="B140" s="2"/>
      <c r="C140" s="2"/>
      <c r="D140" s="2"/>
      <c r="E140" s="2"/>
      <c r="F140" s="2"/>
      <c r="G140" s="2"/>
      <c r="H140" s="2"/>
      <c r="I140" s="5">
        <v>1513235</v>
      </c>
      <c r="J140" s="4">
        <v>11633</v>
      </c>
      <c r="K140" s="4">
        <v>-974.30100000000004</v>
      </c>
      <c r="L140" s="3">
        <v>-1417.8330000000001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15.6" x14ac:dyDescent="0.3">
      <c r="A141" s="2"/>
      <c r="B141" s="2"/>
      <c r="C141" s="2"/>
      <c r="D141" s="2"/>
      <c r="E141" s="2"/>
      <c r="F141" s="2"/>
      <c r="G141" s="2"/>
      <c r="H141" s="2"/>
      <c r="I141" s="5">
        <v>1513240</v>
      </c>
      <c r="J141" s="4">
        <v>11633</v>
      </c>
      <c r="K141" s="4">
        <v>755.029</v>
      </c>
      <c r="L141" s="3">
        <v>-1535.92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15.6" x14ac:dyDescent="0.3">
      <c r="A142" s="2"/>
      <c r="B142" s="2"/>
      <c r="C142" s="2"/>
      <c r="D142" s="2"/>
      <c r="E142" s="2"/>
      <c r="F142" s="2"/>
      <c r="G142" s="2"/>
      <c r="H142" s="2"/>
      <c r="I142" s="5">
        <v>1513245</v>
      </c>
      <c r="J142" s="4">
        <v>11633</v>
      </c>
      <c r="K142" s="4">
        <v>-755.029</v>
      </c>
      <c r="L142" s="3">
        <v>-1535.92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5.6" x14ac:dyDescent="0.3">
      <c r="A143" s="2"/>
      <c r="B143" s="2"/>
      <c r="C143" s="2"/>
      <c r="D143" s="2"/>
      <c r="E143" s="2"/>
      <c r="F143" s="2"/>
      <c r="G143" s="2"/>
      <c r="H143" s="2"/>
      <c r="I143" s="5">
        <v>1513250</v>
      </c>
      <c r="J143" s="4">
        <v>11633</v>
      </c>
      <c r="K143" s="4">
        <v>549.11199999999997</v>
      </c>
      <c r="L143" s="3">
        <v>-1614.721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5.6" x14ac:dyDescent="0.3">
      <c r="A144" s="2"/>
      <c r="B144" s="2"/>
      <c r="C144" s="2"/>
      <c r="D144" s="2"/>
      <c r="E144" s="2"/>
      <c r="F144" s="2"/>
      <c r="G144" s="2"/>
      <c r="H144" s="2"/>
      <c r="I144" s="5">
        <v>1513255</v>
      </c>
      <c r="J144" s="4">
        <v>11633</v>
      </c>
      <c r="K144" s="4">
        <v>-549.11199999999997</v>
      </c>
      <c r="L144" s="3">
        <v>-1614.721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15.6" x14ac:dyDescent="0.3">
      <c r="A145" s="2"/>
      <c r="B145" s="2"/>
      <c r="C145" s="2"/>
      <c r="D145" s="2"/>
      <c r="E145" s="2"/>
      <c r="F145" s="2"/>
      <c r="G145" s="2"/>
      <c r="H145" s="2"/>
      <c r="I145" s="5">
        <v>1513260</v>
      </c>
      <c r="J145" s="4">
        <v>11633</v>
      </c>
      <c r="K145" s="4">
        <v>335.20499999999998</v>
      </c>
      <c r="L145" s="3">
        <v>-1668.1569999999999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15.6" x14ac:dyDescent="0.3">
      <c r="A146" s="2"/>
      <c r="B146" s="2"/>
      <c r="C146" s="2"/>
      <c r="D146" s="2"/>
      <c r="E146" s="2"/>
      <c r="F146" s="2"/>
      <c r="G146" s="2"/>
      <c r="H146" s="2"/>
      <c r="I146" s="5">
        <v>1513265</v>
      </c>
      <c r="J146" s="4">
        <v>11633</v>
      </c>
      <c r="K146" s="4">
        <v>-335.20499999999998</v>
      </c>
      <c r="L146" s="3">
        <v>-1668.1569999999999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15.6" x14ac:dyDescent="0.3">
      <c r="A147" s="2"/>
      <c r="B147" s="2"/>
      <c r="C147" s="2"/>
      <c r="D147" s="2"/>
      <c r="E147" s="2"/>
      <c r="F147" s="2"/>
      <c r="G147" s="2"/>
      <c r="H147" s="2"/>
      <c r="I147" s="5">
        <v>1513270</v>
      </c>
      <c r="J147" s="4">
        <v>11633</v>
      </c>
      <c r="K147" s="4">
        <v>116.419</v>
      </c>
      <c r="L147" s="3">
        <v>-1695.4480000000001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15.6" x14ac:dyDescent="0.3">
      <c r="A148" s="2"/>
      <c r="B148" s="2"/>
      <c r="C148" s="2"/>
      <c r="D148" s="2"/>
      <c r="E148" s="2"/>
      <c r="F148" s="2"/>
      <c r="G148" s="2"/>
      <c r="H148" s="2"/>
      <c r="I148" s="5">
        <v>1513275</v>
      </c>
      <c r="J148" s="4">
        <v>11633</v>
      </c>
      <c r="K148" s="4">
        <v>-116.419</v>
      </c>
      <c r="L148" s="3">
        <v>-1695.4480000000001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ht="15.6" x14ac:dyDescent="0.3">
      <c r="A149" s="2"/>
      <c r="B149" s="2"/>
      <c r="C149" s="2"/>
      <c r="D149" s="2"/>
      <c r="E149" s="2"/>
      <c r="F149" s="2"/>
      <c r="G149" s="2"/>
      <c r="H149" s="2"/>
      <c r="I149" s="5">
        <v>1513280</v>
      </c>
      <c r="J149" s="4">
        <v>11633</v>
      </c>
      <c r="K149" s="4">
        <v>0</v>
      </c>
      <c r="L149" s="3">
        <v>-1699.16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15.6" x14ac:dyDescent="0.3">
      <c r="A150" s="2"/>
      <c r="B150" s="2"/>
      <c r="C150" s="2"/>
      <c r="D150" s="2"/>
      <c r="E150" s="2"/>
      <c r="F150" s="2"/>
      <c r="G150" s="2"/>
      <c r="H150" s="2"/>
      <c r="I150" s="8" t="s">
        <v>37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15.6" x14ac:dyDescent="0.3">
      <c r="A151" s="2"/>
      <c r="B151" s="2"/>
      <c r="C151" s="2"/>
      <c r="D151" s="2"/>
      <c r="E151" s="2"/>
      <c r="F151" s="2"/>
      <c r="G151" s="2"/>
      <c r="H151" s="2"/>
      <c r="I151" s="7" t="s">
        <v>18</v>
      </c>
      <c r="J151" s="7" t="s">
        <v>39</v>
      </c>
      <c r="K151" s="7" t="s">
        <v>19</v>
      </c>
      <c r="L151" s="6" t="s">
        <v>20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ht="15.6" x14ac:dyDescent="0.3">
      <c r="A152" s="2"/>
      <c r="B152" s="2"/>
      <c r="C152" s="2"/>
      <c r="D152" s="2"/>
      <c r="E152" s="2"/>
      <c r="F152" s="2"/>
      <c r="G152" s="2"/>
      <c r="H152" s="2"/>
      <c r="I152" s="5">
        <v>1510000</v>
      </c>
      <c r="J152" s="4">
        <v>10006</v>
      </c>
      <c r="K152" s="4">
        <v>0</v>
      </c>
      <c r="L152" s="3">
        <v>2488.4989999999998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15.6" x14ac:dyDescent="0.3">
      <c r="A153" s="2"/>
      <c r="B153" s="2"/>
      <c r="C153" s="2"/>
      <c r="D153" s="2"/>
      <c r="E153" s="2"/>
      <c r="F153" s="2"/>
      <c r="G153" s="2"/>
      <c r="H153" s="2"/>
      <c r="I153" s="5">
        <v>1510010</v>
      </c>
      <c r="J153" s="4">
        <v>10006</v>
      </c>
      <c r="K153" s="4">
        <v>117.324</v>
      </c>
      <c r="L153" s="3">
        <v>2484.3229999999999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15.6" x14ac:dyDescent="0.3">
      <c r="A154" s="2"/>
      <c r="B154" s="2"/>
      <c r="C154" s="2"/>
      <c r="D154" s="2"/>
      <c r="E154" s="2"/>
      <c r="F154" s="2"/>
      <c r="G154" s="2"/>
      <c r="H154" s="2"/>
      <c r="I154" s="5">
        <v>1510015</v>
      </c>
      <c r="J154" s="4">
        <v>10006</v>
      </c>
      <c r="K154" s="4">
        <v>-117.324</v>
      </c>
      <c r="L154" s="3">
        <v>2484.3229999999999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ht="15.6" x14ac:dyDescent="0.3">
      <c r="A155" s="2"/>
      <c r="B155" s="2"/>
      <c r="C155" s="2"/>
      <c r="D155" s="2"/>
      <c r="E155" s="2"/>
      <c r="F155" s="2"/>
      <c r="G155" s="2"/>
      <c r="H155" s="2"/>
      <c r="I155" s="5">
        <v>1510020</v>
      </c>
      <c r="J155" s="4">
        <v>10006</v>
      </c>
      <c r="K155" s="4">
        <v>374.55279999999999</v>
      </c>
      <c r="L155" s="3">
        <v>2432.83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15.6" x14ac:dyDescent="0.3">
      <c r="A156" s="2"/>
      <c r="B156" s="2"/>
      <c r="C156" s="2"/>
      <c r="D156" s="2"/>
      <c r="E156" s="2"/>
      <c r="F156" s="2"/>
      <c r="G156" s="2"/>
      <c r="H156" s="2"/>
      <c r="I156" s="5">
        <v>1510025</v>
      </c>
      <c r="J156" s="4">
        <v>10006</v>
      </c>
      <c r="K156" s="4">
        <v>-374.55279999999999</v>
      </c>
      <c r="L156" s="3">
        <v>2432.83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15.6" x14ac:dyDescent="0.3">
      <c r="A157" s="2"/>
      <c r="B157" s="2"/>
      <c r="C157" s="2"/>
      <c r="D157" s="2"/>
      <c r="E157" s="2"/>
      <c r="F157" s="2"/>
      <c r="G157" s="2"/>
      <c r="H157" s="2"/>
      <c r="I157" s="5">
        <v>1510040</v>
      </c>
      <c r="J157" s="4">
        <v>10006</v>
      </c>
      <c r="K157" s="4">
        <v>646.44899999999996</v>
      </c>
      <c r="L157" s="3">
        <v>2357.0070000000001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15.6" x14ac:dyDescent="0.3">
      <c r="A158" s="2"/>
      <c r="B158" s="2"/>
      <c r="C158" s="2"/>
      <c r="D158" s="2"/>
      <c r="E158" s="2"/>
      <c r="F158" s="2"/>
      <c r="G158" s="2"/>
      <c r="H158" s="2"/>
      <c r="I158" s="5">
        <v>1510045</v>
      </c>
      <c r="J158" s="4">
        <v>10006</v>
      </c>
      <c r="K158" s="4">
        <v>-646.44899999999996</v>
      </c>
      <c r="L158" s="3">
        <v>2357.0070000000001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15.6" x14ac:dyDescent="0.3">
      <c r="A159" s="2"/>
      <c r="B159" s="2"/>
      <c r="C159" s="2"/>
      <c r="D159" s="2"/>
      <c r="E159" s="2"/>
      <c r="F159" s="2"/>
      <c r="G159" s="2"/>
      <c r="H159" s="2"/>
      <c r="I159" s="5">
        <v>1510050</v>
      </c>
      <c r="J159" s="4">
        <v>10006</v>
      </c>
      <c r="K159" s="4">
        <v>815.31500000000005</v>
      </c>
      <c r="L159" s="3">
        <v>2274.9059999999999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5.6" x14ac:dyDescent="0.3">
      <c r="A160" s="2"/>
      <c r="B160" s="2"/>
      <c r="C160" s="2"/>
      <c r="D160" s="2"/>
      <c r="E160" s="2"/>
      <c r="F160" s="2"/>
      <c r="G160" s="2"/>
      <c r="H160" s="2"/>
      <c r="I160" s="5">
        <v>1510055</v>
      </c>
      <c r="J160" s="4">
        <v>10006</v>
      </c>
      <c r="K160" s="4">
        <v>-815.31500000000005</v>
      </c>
      <c r="L160" s="3">
        <v>2274.9059999999999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5.6" x14ac:dyDescent="0.3">
      <c r="A161" s="2"/>
      <c r="B161" s="2"/>
      <c r="C161" s="2"/>
      <c r="D161" s="2"/>
      <c r="E161" s="2"/>
      <c r="F161" s="2"/>
      <c r="G161" s="2"/>
      <c r="H161" s="2"/>
      <c r="I161" s="5">
        <v>1510180</v>
      </c>
      <c r="J161" s="4">
        <v>10006</v>
      </c>
      <c r="K161" s="4">
        <v>1706.2919999999999</v>
      </c>
      <c r="L161" s="3">
        <v>-449.44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5.6" x14ac:dyDescent="0.3">
      <c r="A162" s="2"/>
      <c r="B162" s="2"/>
      <c r="C162" s="2"/>
      <c r="D162" s="2"/>
      <c r="E162" s="2"/>
      <c r="F162" s="2"/>
      <c r="G162" s="2"/>
      <c r="H162" s="2"/>
      <c r="I162" s="5">
        <v>1510185</v>
      </c>
      <c r="J162" s="4">
        <v>10006</v>
      </c>
      <c r="K162" s="4">
        <v>-1706.2919999999999</v>
      </c>
      <c r="L162" s="3">
        <v>-449.44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5.6" x14ac:dyDescent="0.3">
      <c r="A163" s="2"/>
      <c r="B163" s="2"/>
      <c r="C163" s="2"/>
      <c r="D163" s="2"/>
      <c r="E163" s="2"/>
      <c r="F163" s="2"/>
      <c r="G163" s="2"/>
      <c r="H163" s="2"/>
      <c r="I163" s="5">
        <v>1510190</v>
      </c>
      <c r="J163" s="4">
        <v>10006</v>
      </c>
      <c r="K163" s="4">
        <v>1595.5319999999999</v>
      </c>
      <c r="L163" s="3">
        <v>-665.18299999999999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5.6" x14ac:dyDescent="0.3">
      <c r="A164" s="2"/>
      <c r="B164" s="2"/>
      <c r="C164" s="2"/>
      <c r="D164" s="2"/>
      <c r="E164" s="2"/>
      <c r="F164" s="2"/>
      <c r="G164" s="2"/>
      <c r="H164" s="2"/>
      <c r="I164" s="5">
        <v>1510195</v>
      </c>
      <c r="J164" s="4">
        <v>10006</v>
      </c>
      <c r="K164" s="4">
        <v>-1595.5319999999999</v>
      </c>
      <c r="L164" s="3">
        <v>-665.18299999999999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15.6" x14ac:dyDescent="0.3">
      <c r="A165" s="2"/>
      <c r="B165" s="2"/>
      <c r="C165" s="2"/>
      <c r="D165" s="2"/>
      <c r="E165" s="2"/>
      <c r="F165" s="2"/>
      <c r="G165" s="2"/>
      <c r="H165" s="2"/>
      <c r="I165" s="5">
        <v>1510200</v>
      </c>
      <c r="J165" s="4">
        <v>10006</v>
      </c>
      <c r="K165" s="4">
        <v>1462.7329999999999</v>
      </c>
      <c r="L165" s="3">
        <v>-868.452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15.6" x14ac:dyDescent="0.3">
      <c r="A166" s="2"/>
      <c r="B166" s="2"/>
      <c r="C166" s="2"/>
      <c r="D166" s="2"/>
      <c r="E166" s="2"/>
      <c r="F166" s="2"/>
      <c r="G166" s="2"/>
      <c r="H166" s="2"/>
      <c r="I166" s="5">
        <v>1510205</v>
      </c>
      <c r="J166" s="4">
        <v>10006</v>
      </c>
      <c r="K166" s="4">
        <v>-1462.7329999999999</v>
      </c>
      <c r="L166" s="3">
        <v>-868.452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ht="15.6" x14ac:dyDescent="0.3">
      <c r="A167" s="2"/>
      <c r="B167" s="2"/>
      <c r="C167" s="2"/>
      <c r="D167" s="2"/>
      <c r="E167" s="2"/>
      <c r="F167" s="2"/>
      <c r="G167" s="2"/>
      <c r="H167" s="2"/>
      <c r="I167" s="5">
        <v>1510210</v>
      </c>
      <c r="J167" s="4">
        <v>10006</v>
      </c>
      <c r="K167" s="4">
        <v>1309.595</v>
      </c>
      <c r="L167" s="3">
        <v>-1057.1199999999999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ht="15.6" x14ac:dyDescent="0.3">
      <c r="A168" s="2"/>
      <c r="B168" s="2"/>
      <c r="C168" s="2"/>
      <c r="D168" s="2"/>
      <c r="E168" s="2"/>
      <c r="F168" s="2"/>
      <c r="G168" s="2"/>
      <c r="H168" s="2"/>
      <c r="I168" s="5">
        <v>1510215</v>
      </c>
      <c r="J168" s="4">
        <v>10006</v>
      </c>
      <c r="K168" s="4">
        <v>-1309.595</v>
      </c>
      <c r="L168" s="3">
        <v>-1057.1199999999999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ht="15.6" x14ac:dyDescent="0.3">
      <c r="A169" s="2"/>
      <c r="B169" s="2"/>
      <c r="C169" s="2"/>
      <c r="D169" s="2"/>
      <c r="E169" s="2"/>
      <c r="F169" s="2"/>
      <c r="G169" s="2"/>
      <c r="H169" s="2"/>
      <c r="I169" s="5">
        <v>1510220</v>
      </c>
      <c r="J169" s="4">
        <v>10006</v>
      </c>
      <c r="K169" s="4">
        <v>1138.0429999999999</v>
      </c>
      <c r="L169" s="3">
        <v>-1226.4490000000001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ht="15.6" x14ac:dyDescent="0.3">
      <c r="A170" s="2"/>
      <c r="B170" s="2"/>
      <c r="C170" s="2"/>
      <c r="D170" s="2"/>
      <c r="E170" s="2"/>
      <c r="F170" s="2"/>
      <c r="G170" s="2"/>
      <c r="H170" s="2"/>
      <c r="I170" s="5">
        <v>1510225</v>
      </c>
      <c r="J170" s="4">
        <v>10006</v>
      </c>
      <c r="K170" s="4">
        <v>-1138.0429999999999</v>
      </c>
      <c r="L170" s="3">
        <v>-1226.4490000000001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15.6" x14ac:dyDescent="0.3">
      <c r="A171" s="2"/>
      <c r="B171" s="2"/>
      <c r="C171" s="2"/>
      <c r="D171" s="2"/>
      <c r="E171" s="2"/>
      <c r="F171" s="2"/>
      <c r="G171" s="2"/>
      <c r="H171" s="2"/>
      <c r="I171" s="5">
        <v>1510230</v>
      </c>
      <c r="J171" s="4">
        <v>10006</v>
      </c>
      <c r="K171" s="4">
        <v>945.01700000000005</v>
      </c>
      <c r="L171" s="3">
        <v>-1371.347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15.6" x14ac:dyDescent="0.3">
      <c r="A172" s="2"/>
      <c r="B172" s="2"/>
      <c r="C172" s="2"/>
      <c r="D172" s="2"/>
      <c r="E172" s="2"/>
      <c r="F172" s="2"/>
      <c r="G172" s="2"/>
      <c r="H172" s="2"/>
      <c r="I172" s="5">
        <v>1510235</v>
      </c>
      <c r="J172" s="4">
        <v>10006</v>
      </c>
      <c r="K172" s="4">
        <v>-945.01700000000005</v>
      </c>
      <c r="L172" s="3">
        <v>-1371.347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15.6" x14ac:dyDescent="0.3">
      <c r="A173" s="2"/>
      <c r="B173" s="2"/>
      <c r="C173" s="2"/>
      <c r="D173" s="2"/>
      <c r="E173" s="2"/>
      <c r="F173" s="2"/>
      <c r="G173" s="2"/>
      <c r="H173" s="2"/>
      <c r="I173" s="5">
        <v>1510240</v>
      </c>
      <c r="J173" s="4">
        <v>10006</v>
      </c>
      <c r="K173" s="4">
        <v>733.97400000000005</v>
      </c>
      <c r="L173" s="3">
        <v>-1489.4970000000001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15.6" x14ac:dyDescent="0.3">
      <c r="A174" s="2"/>
      <c r="B174" s="2"/>
      <c r="C174" s="2"/>
      <c r="D174" s="2"/>
      <c r="E174" s="2"/>
      <c r="F174" s="2"/>
      <c r="G174" s="2"/>
      <c r="H174" s="2"/>
      <c r="I174" s="5">
        <v>1510245</v>
      </c>
      <c r="J174" s="4">
        <v>10006</v>
      </c>
      <c r="K174" s="4">
        <v>-733.97400000000005</v>
      </c>
      <c r="L174" s="3">
        <v>-1489.4970000000001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15.6" x14ac:dyDescent="0.3">
      <c r="A175" s="2"/>
      <c r="B175" s="2"/>
      <c r="C175" s="2"/>
      <c r="D175" s="2"/>
      <c r="E175" s="2"/>
      <c r="F175" s="2"/>
      <c r="G175" s="2"/>
      <c r="H175" s="2"/>
      <c r="I175" s="5">
        <v>1510250</v>
      </c>
      <c r="J175" s="4">
        <v>10006</v>
      </c>
      <c r="K175" s="4">
        <v>534.96799999999996</v>
      </c>
      <c r="L175" s="3">
        <v>-1569.8109999999999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15.6" x14ac:dyDescent="0.3">
      <c r="A176" s="2"/>
      <c r="B176" s="2"/>
      <c r="C176" s="2"/>
      <c r="D176" s="2"/>
      <c r="E176" s="2"/>
      <c r="F176" s="2"/>
      <c r="G176" s="2"/>
      <c r="H176" s="2"/>
      <c r="I176" s="5">
        <v>1510255</v>
      </c>
      <c r="J176" s="4">
        <v>10006</v>
      </c>
      <c r="K176" s="4">
        <v>-534.96799999999996</v>
      </c>
      <c r="L176" s="3">
        <v>-1569.8109999999999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15.6" x14ac:dyDescent="0.3">
      <c r="A177" s="2"/>
      <c r="B177" s="2"/>
      <c r="C177" s="2"/>
      <c r="D177" s="2"/>
      <c r="E177" s="2"/>
      <c r="F177" s="2"/>
      <c r="G177" s="2"/>
      <c r="H177" s="2"/>
      <c r="I177" s="5">
        <v>1510260</v>
      </c>
      <c r="J177" s="4">
        <v>10006</v>
      </c>
      <c r="K177" s="4">
        <v>327.214</v>
      </c>
      <c r="L177" s="3">
        <v>-1625.3209999999999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15.6" x14ac:dyDescent="0.3">
      <c r="A178" s="2"/>
      <c r="B178" s="2"/>
      <c r="C178" s="2"/>
      <c r="D178" s="2"/>
      <c r="E178" s="2"/>
      <c r="F178" s="2"/>
      <c r="G178" s="2"/>
      <c r="H178" s="2"/>
      <c r="I178" s="5">
        <v>1510265</v>
      </c>
      <c r="J178" s="4">
        <v>10006</v>
      </c>
      <c r="K178" s="4">
        <v>-327.214</v>
      </c>
      <c r="L178" s="3">
        <v>-1625.3209999999999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15.6" x14ac:dyDescent="0.3">
      <c r="A179" s="2"/>
      <c r="B179" s="2"/>
      <c r="C179" s="2"/>
      <c r="D179" s="2"/>
      <c r="E179" s="2"/>
      <c r="F179" s="2"/>
      <c r="G179" s="2"/>
      <c r="H179" s="2"/>
      <c r="I179" s="5">
        <v>1510270</v>
      </c>
      <c r="J179" s="4">
        <v>10006</v>
      </c>
      <c r="K179" s="4">
        <v>113.785</v>
      </c>
      <c r="L179" s="3">
        <v>-1654.1859999999999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15.6" x14ac:dyDescent="0.3">
      <c r="A180" s="2"/>
      <c r="B180" s="2"/>
      <c r="C180" s="2"/>
      <c r="D180" s="2"/>
      <c r="E180" s="2"/>
      <c r="F180" s="2"/>
      <c r="G180" s="2"/>
      <c r="H180" s="2"/>
      <c r="I180" s="5">
        <v>1510275</v>
      </c>
      <c r="J180" s="4">
        <v>10006</v>
      </c>
      <c r="K180" s="4">
        <v>-113.785</v>
      </c>
      <c r="L180" s="3">
        <v>-1654.1859999999999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15.6" x14ac:dyDescent="0.3">
      <c r="A181" s="2"/>
      <c r="B181" s="2"/>
      <c r="C181" s="2"/>
      <c r="D181" s="2"/>
      <c r="E181" s="2"/>
      <c r="F181" s="2"/>
      <c r="G181" s="2"/>
      <c r="H181" s="2"/>
      <c r="I181" s="5">
        <v>1510280</v>
      </c>
      <c r="J181" s="4">
        <v>10006</v>
      </c>
      <c r="K181" s="4">
        <v>0</v>
      </c>
      <c r="L181" s="3">
        <v>-1658.162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15.6" x14ac:dyDescent="0.3">
      <c r="A182" s="2"/>
      <c r="B182" s="2"/>
      <c r="C182" s="2"/>
      <c r="D182" s="2"/>
      <c r="E182" s="2"/>
      <c r="F182" s="2"/>
      <c r="G182" s="2"/>
      <c r="H182" s="2"/>
      <c r="I182" s="8" t="s">
        <v>38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ht="15.6" x14ac:dyDescent="0.3">
      <c r="A183" s="2"/>
      <c r="B183" s="2"/>
      <c r="C183" s="2"/>
      <c r="D183" s="2"/>
      <c r="E183" s="2"/>
      <c r="F183" s="2"/>
      <c r="G183" s="2"/>
      <c r="H183" s="2"/>
      <c r="I183" s="7" t="s">
        <v>18</v>
      </c>
      <c r="J183" s="7" t="s">
        <v>39</v>
      </c>
      <c r="K183" s="7" t="s">
        <v>19</v>
      </c>
      <c r="L183" s="6" t="s">
        <v>20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ht="15.6" x14ac:dyDescent="0.3">
      <c r="A184" s="2"/>
      <c r="B184" s="2"/>
      <c r="C184" s="2"/>
      <c r="D184" s="2"/>
      <c r="E184" s="2"/>
      <c r="F184" s="2"/>
      <c r="G184" s="2"/>
      <c r="H184" s="2"/>
      <c r="I184" s="5">
        <v>1512000</v>
      </c>
      <c r="J184" s="4">
        <v>10998</v>
      </c>
      <c r="K184" s="4">
        <v>0</v>
      </c>
      <c r="L184" s="3">
        <v>2569.6120000000001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ht="15.6" x14ac:dyDescent="0.3">
      <c r="A185" s="2"/>
      <c r="B185" s="2"/>
      <c r="C185" s="2"/>
      <c r="D185" s="2"/>
      <c r="E185" s="2"/>
      <c r="F185" s="2"/>
      <c r="G185" s="2"/>
      <c r="H185" s="2"/>
      <c r="I185" s="5">
        <v>1512010</v>
      </c>
      <c r="J185" s="4">
        <v>10998</v>
      </c>
      <c r="K185" s="4">
        <v>122.298</v>
      </c>
      <c r="L185" s="3">
        <v>2565.7249999999999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15.6" x14ac:dyDescent="0.3">
      <c r="A186" s="2"/>
      <c r="B186" s="2"/>
      <c r="C186" s="2"/>
      <c r="D186" s="2"/>
      <c r="E186" s="2"/>
      <c r="F186" s="2"/>
      <c r="G186" s="2"/>
      <c r="H186" s="2"/>
      <c r="I186" s="5">
        <v>1512015</v>
      </c>
      <c r="J186" s="4">
        <v>10998</v>
      </c>
      <c r="K186" s="4">
        <v>-122.298</v>
      </c>
      <c r="L186" s="3">
        <v>2565.7249999999999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ht="15.6" x14ac:dyDescent="0.3">
      <c r="A187" s="2"/>
      <c r="B187" s="2"/>
      <c r="C187" s="2"/>
      <c r="D187" s="2"/>
      <c r="E187" s="2"/>
      <c r="F187" s="2"/>
      <c r="G187" s="2"/>
      <c r="H187" s="2"/>
      <c r="I187" s="5">
        <v>1512020</v>
      </c>
      <c r="J187" s="4">
        <v>10998</v>
      </c>
      <c r="K187" s="4">
        <v>365.67200000000003</v>
      </c>
      <c r="L187" s="3">
        <v>2534.5940000000001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ht="15.6" x14ac:dyDescent="0.3">
      <c r="A188" s="2"/>
      <c r="B188" s="2"/>
      <c r="C188" s="2"/>
      <c r="D188" s="2"/>
      <c r="E188" s="2"/>
      <c r="F188" s="2"/>
      <c r="G188" s="2"/>
      <c r="H188" s="2"/>
      <c r="I188" s="5">
        <v>1512025</v>
      </c>
      <c r="J188" s="4">
        <v>10998</v>
      </c>
      <c r="K188" s="4">
        <v>-365.67200000000003</v>
      </c>
      <c r="L188" s="3">
        <v>2534.5940000000001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ht="15.6" x14ac:dyDescent="0.3">
      <c r="A189" s="2"/>
      <c r="B189" s="2"/>
      <c r="C189" s="2"/>
      <c r="D189" s="2"/>
      <c r="E189" s="2"/>
      <c r="F189" s="2"/>
      <c r="G189" s="2"/>
      <c r="H189" s="2"/>
      <c r="I189" s="5">
        <v>1512030</v>
      </c>
      <c r="J189" s="4">
        <v>10998</v>
      </c>
      <c r="K189" s="4">
        <v>602.91600000000005</v>
      </c>
      <c r="L189" s="3">
        <v>2472.8629999999998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ht="15.6" x14ac:dyDescent="0.3">
      <c r="A190" s="2"/>
      <c r="B190" s="2"/>
      <c r="C190" s="2"/>
      <c r="D190" s="2"/>
      <c r="E190" s="2"/>
      <c r="F190" s="2"/>
      <c r="G190" s="2"/>
      <c r="H190" s="2"/>
      <c r="I190" s="5">
        <v>1512035</v>
      </c>
      <c r="J190" s="4">
        <v>10998</v>
      </c>
      <c r="K190" s="4">
        <v>-602.91600000000005</v>
      </c>
      <c r="L190" s="3">
        <v>2472.8629999999998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15.6" x14ac:dyDescent="0.3">
      <c r="A191" s="2"/>
      <c r="B191" s="2"/>
      <c r="C191" s="2"/>
      <c r="D191" s="2"/>
      <c r="E191" s="2"/>
      <c r="F191" s="2"/>
      <c r="G191" s="2"/>
      <c r="H191" s="2"/>
      <c r="I191" s="5">
        <v>1512040</v>
      </c>
      <c r="J191" s="4">
        <v>10998</v>
      </c>
      <c r="K191" s="4">
        <v>818.33</v>
      </c>
      <c r="L191" s="3">
        <v>2387.3139999999999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15.6" x14ac:dyDescent="0.3">
      <c r="A192" s="2"/>
      <c r="B192" s="2"/>
      <c r="C192" s="2"/>
      <c r="D192" s="2"/>
      <c r="E192" s="2"/>
      <c r="F192" s="2"/>
      <c r="G192" s="2"/>
      <c r="H192" s="2"/>
      <c r="I192" s="5">
        <v>1512045</v>
      </c>
      <c r="J192" s="4">
        <v>10998</v>
      </c>
      <c r="K192" s="4">
        <v>-818.33</v>
      </c>
      <c r="L192" s="3">
        <v>2387.3139999999999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15.6" x14ac:dyDescent="0.3">
      <c r="A193" s="2"/>
      <c r="B193" s="2"/>
      <c r="C193" s="2"/>
      <c r="D193" s="2"/>
      <c r="E193" s="2"/>
      <c r="F193" s="2"/>
      <c r="G193" s="2"/>
      <c r="H193" s="2"/>
      <c r="I193" s="5">
        <v>1512050</v>
      </c>
      <c r="J193" s="4">
        <v>10998</v>
      </c>
      <c r="K193" s="4">
        <v>1025.127</v>
      </c>
      <c r="L193" s="3">
        <v>2274.9059999999999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15.6" x14ac:dyDescent="0.3">
      <c r="A194" s="2"/>
      <c r="B194" s="2"/>
      <c r="C194" s="2"/>
      <c r="D194" s="2"/>
      <c r="E194" s="2"/>
      <c r="F194" s="2"/>
      <c r="G194" s="2"/>
      <c r="H194" s="2"/>
      <c r="I194" s="5">
        <v>1512055</v>
      </c>
      <c r="J194" s="4">
        <v>10998</v>
      </c>
      <c r="K194" s="4">
        <v>-1025.127</v>
      </c>
      <c r="L194" s="3">
        <v>2274.9059999999999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15.6" x14ac:dyDescent="0.3">
      <c r="A195" s="2"/>
      <c r="B195" s="2"/>
      <c r="C195" s="2"/>
      <c r="D195" s="2"/>
      <c r="E195" s="2"/>
      <c r="F195" s="2"/>
      <c r="G195" s="2"/>
      <c r="H195" s="2"/>
      <c r="I195" s="5">
        <v>1512180</v>
      </c>
      <c r="J195" s="4">
        <v>10998</v>
      </c>
      <c r="K195" s="4">
        <v>1756.09</v>
      </c>
      <c r="L195" s="3">
        <v>-472.87799999999999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15.6" x14ac:dyDescent="0.3">
      <c r="A196" s="2"/>
      <c r="B196" s="2"/>
      <c r="C196" s="2"/>
      <c r="D196" s="2"/>
      <c r="E196" s="2"/>
      <c r="F196" s="2"/>
      <c r="G196" s="2"/>
      <c r="H196" s="2"/>
      <c r="I196" s="5">
        <v>1512185</v>
      </c>
      <c r="J196" s="4">
        <v>10998</v>
      </c>
      <c r="K196" s="4">
        <v>-1756.09</v>
      </c>
      <c r="L196" s="3">
        <v>-472.87799999999999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15.6" x14ac:dyDescent="0.3">
      <c r="A197" s="2"/>
      <c r="B197" s="2"/>
      <c r="C197" s="2"/>
      <c r="D197" s="2"/>
      <c r="E197" s="2"/>
      <c r="F197" s="2"/>
      <c r="G197" s="2"/>
      <c r="H197" s="2"/>
      <c r="I197" s="5">
        <v>1512190</v>
      </c>
      <c r="J197" s="4">
        <v>10998</v>
      </c>
      <c r="K197" s="4">
        <v>1639.981</v>
      </c>
      <c r="L197" s="3">
        <v>-691.779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15.6" x14ac:dyDescent="0.3">
      <c r="A198" s="2"/>
      <c r="B198" s="2"/>
      <c r="C198" s="2"/>
      <c r="D198" s="2"/>
      <c r="E198" s="2"/>
      <c r="F198" s="2"/>
      <c r="G198" s="2"/>
      <c r="H198" s="2"/>
      <c r="I198" s="5">
        <v>1512195</v>
      </c>
      <c r="J198" s="4">
        <v>10998</v>
      </c>
      <c r="K198" s="4">
        <v>-1639.981</v>
      </c>
      <c r="L198" s="3">
        <v>-691.779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15.6" x14ac:dyDescent="0.3">
      <c r="A199" s="2"/>
      <c r="B199" s="2"/>
      <c r="C199" s="2"/>
      <c r="D199" s="2"/>
      <c r="E199" s="2"/>
      <c r="F199" s="2"/>
      <c r="G199" s="2"/>
      <c r="H199" s="2"/>
      <c r="I199" s="5">
        <v>1512200</v>
      </c>
      <c r="J199" s="4">
        <v>10998</v>
      </c>
      <c r="K199" s="4">
        <v>1502.627</v>
      </c>
      <c r="L199" s="3">
        <v>-898.06200000000001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15.6" x14ac:dyDescent="0.3">
      <c r="A200" s="2"/>
      <c r="B200" s="2"/>
      <c r="C200" s="2"/>
      <c r="D200" s="2"/>
      <c r="E200" s="2"/>
      <c r="F200" s="2"/>
      <c r="G200" s="2"/>
      <c r="H200" s="2"/>
      <c r="I200" s="5">
        <v>1512205</v>
      </c>
      <c r="J200" s="4">
        <v>10998</v>
      </c>
      <c r="K200" s="4">
        <v>-1502.627</v>
      </c>
      <c r="L200" s="3">
        <v>-898.06200000000001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15.6" x14ac:dyDescent="0.3">
      <c r="A201" s="2"/>
      <c r="B201" s="2"/>
      <c r="C201" s="2"/>
      <c r="D201" s="2"/>
      <c r="E201" s="2"/>
      <c r="F201" s="2"/>
      <c r="G201" s="2"/>
      <c r="H201" s="2"/>
      <c r="I201" s="5">
        <v>1512210</v>
      </c>
      <c r="J201" s="4">
        <v>10998</v>
      </c>
      <c r="K201" s="4">
        <v>1345.4280000000001</v>
      </c>
      <c r="L201" s="3">
        <v>-1089.6949999999999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15.6" x14ac:dyDescent="0.3">
      <c r="A202" s="2"/>
      <c r="B202" s="2"/>
      <c r="C202" s="2"/>
      <c r="D202" s="2"/>
      <c r="E202" s="2"/>
      <c r="F202" s="2"/>
      <c r="G202" s="2"/>
      <c r="H202" s="2"/>
      <c r="I202" s="5">
        <v>1512215</v>
      </c>
      <c r="J202" s="4">
        <v>10998</v>
      </c>
      <c r="K202" s="4">
        <v>-1345.4280000000001</v>
      </c>
      <c r="L202" s="3">
        <v>-1089.6949999999999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15.6" x14ac:dyDescent="0.3">
      <c r="A203" s="2"/>
      <c r="B203" s="2"/>
      <c r="C203" s="2"/>
      <c r="D203" s="2"/>
      <c r="E203" s="2"/>
      <c r="F203" s="2"/>
      <c r="G203" s="2"/>
      <c r="H203" s="2"/>
      <c r="I203" s="5">
        <v>1512220</v>
      </c>
      <c r="J203" s="4">
        <v>10998</v>
      </c>
      <c r="K203" s="4">
        <v>1167.6980000000001</v>
      </c>
      <c r="L203" s="3">
        <v>-1261.7639999999999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15.6" x14ac:dyDescent="0.3">
      <c r="A204" s="2"/>
      <c r="B204" s="2"/>
      <c r="C204" s="2"/>
      <c r="D204" s="2"/>
      <c r="E204" s="2"/>
      <c r="F204" s="2"/>
      <c r="G204" s="2"/>
      <c r="H204" s="2"/>
      <c r="I204" s="5">
        <v>1512225</v>
      </c>
      <c r="J204" s="4">
        <v>10998</v>
      </c>
      <c r="K204" s="4">
        <v>-1167.6980000000001</v>
      </c>
      <c r="L204" s="3">
        <v>-1261.7639999999999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15.6" x14ac:dyDescent="0.3">
      <c r="A205" s="2"/>
      <c r="B205" s="2"/>
      <c r="C205" s="2"/>
      <c r="D205" s="2"/>
      <c r="E205" s="2"/>
      <c r="F205" s="2"/>
      <c r="G205" s="2"/>
      <c r="H205" s="2"/>
      <c r="I205" s="5">
        <v>1512230</v>
      </c>
      <c r="J205" s="4">
        <v>10998</v>
      </c>
      <c r="K205" s="4">
        <v>968.29300000000001</v>
      </c>
      <c r="L205" s="3">
        <v>-1408.296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15.6" x14ac:dyDescent="0.3">
      <c r="A206" s="2"/>
      <c r="B206" s="2"/>
      <c r="C206" s="2"/>
      <c r="D206" s="2"/>
      <c r="E206" s="2"/>
      <c r="F206" s="2"/>
      <c r="G206" s="2"/>
      <c r="H206" s="2"/>
      <c r="I206" s="5">
        <v>1512235</v>
      </c>
      <c r="J206" s="4">
        <v>10998</v>
      </c>
      <c r="K206" s="4">
        <v>-968.29300000000001</v>
      </c>
      <c r="L206" s="3">
        <v>-1408.296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15.6" x14ac:dyDescent="0.3">
      <c r="A207" s="2"/>
      <c r="B207" s="2"/>
      <c r="C207" s="2"/>
      <c r="D207" s="2"/>
      <c r="E207" s="2"/>
      <c r="F207" s="2"/>
      <c r="G207" s="2"/>
      <c r="H207" s="2"/>
      <c r="I207" s="5">
        <v>1512240</v>
      </c>
      <c r="J207" s="4">
        <v>10998</v>
      </c>
      <c r="K207" s="4">
        <v>750.84699999999998</v>
      </c>
      <c r="L207" s="3">
        <v>-1526.6990000000001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15.6" x14ac:dyDescent="0.3">
      <c r="A208" s="2"/>
      <c r="B208" s="2"/>
      <c r="C208" s="2"/>
      <c r="D208" s="2"/>
      <c r="E208" s="2"/>
      <c r="F208" s="2"/>
      <c r="G208" s="2"/>
      <c r="H208" s="2"/>
      <c r="I208" s="5">
        <v>1512245</v>
      </c>
      <c r="J208" s="4">
        <v>10998</v>
      </c>
      <c r="K208" s="4">
        <v>-750.84699999999998</v>
      </c>
      <c r="L208" s="3">
        <v>-1526.6990000000001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15.6" x14ac:dyDescent="0.3">
      <c r="A209" s="2"/>
      <c r="B209" s="2"/>
      <c r="C209" s="2"/>
      <c r="D209" s="2"/>
      <c r="E209" s="2"/>
      <c r="F209" s="2"/>
      <c r="G209" s="2"/>
      <c r="H209" s="2"/>
      <c r="I209" s="5">
        <v>1512250</v>
      </c>
      <c r="J209" s="4">
        <v>10998</v>
      </c>
      <c r="K209" s="4">
        <v>546.42200000000003</v>
      </c>
      <c r="L209" s="3">
        <v>-1606.181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15.6" x14ac:dyDescent="0.3">
      <c r="A210" s="2"/>
      <c r="B210" s="2"/>
      <c r="C210" s="2"/>
      <c r="D210" s="2"/>
      <c r="E210" s="2"/>
      <c r="F210" s="2"/>
      <c r="G210" s="2"/>
      <c r="H210" s="2"/>
      <c r="I210" s="5">
        <v>1512255</v>
      </c>
      <c r="J210" s="4">
        <v>10998</v>
      </c>
      <c r="K210" s="4">
        <v>-546.42200000000003</v>
      </c>
      <c r="L210" s="3">
        <v>-1606.181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15.6" x14ac:dyDescent="0.3">
      <c r="A211" s="2"/>
      <c r="B211" s="2"/>
      <c r="C211" s="2"/>
      <c r="D211" s="2"/>
      <c r="E211" s="2"/>
      <c r="F211" s="2"/>
      <c r="G211" s="2"/>
      <c r="H211" s="2"/>
      <c r="I211" s="5">
        <v>1512260</v>
      </c>
      <c r="J211" s="4">
        <v>10998</v>
      </c>
      <c r="K211" s="4">
        <v>333.762</v>
      </c>
      <c r="L211" s="3">
        <v>-1660.424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15.6" x14ac:dyDescent="0.3">
      <c r="A212" s="2"/>
      <c r="B212" s="2"/>
      <c r="C212" s="2"/>
      <c r="D212" s="2"/>
      <c r="E212" s="2"/>
      <c r="F212" s="2"/>
      <c r="G212" s="2"/>
      <c r="H212" s="2"/>
      <c r="I212" s="5">
        <v>1512265</v>
      </c>
      <c r="J212" s="4">
        <v>10998</v>
      </c>
      <c r="K212" s="4">
        <v>-333.762</v>
      </c>
      <c r="L212" s="3">
        <v>-1660.424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15.6" x14ac:dyDescent="0.3">
      <c r="A213" s="2"/>
      <c r="B213" s="2"/>
      <c r="C213" s="2"/>
      <c r="D213" s="2"/>
      <c r="E213" s="2"/>
      <c r="F213" s="2"/>
      <c r="G213" s="2"/>
      <c r="H213" s="2"/>
      <c r="I213" s="5">
        <v>1512270</v>
      </c>
      <c r="J213" s="4">
        <v>10998</v>
      </c>
      <c r="K213" s="4">
        <v>115.96299999999999</v>
      </c>
      <c r="L213" s="3">
        <v>-1688.307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15.6" x14ac:dyDescent="0.3">
      <c r="A214" s="2"/>
      <c r="B214" s="2"/>
      <c r="C214" s="2"/>
      <c r="D214" s="2"/>
      <c r="E214" s="2"/>
      <c r="F214" s="2"/>
      <c r="G214" s="2"/>
      <c r="H214" s="2"/>
      <c r="I214" s="5">
        <v>1512275</v>
      </c>
      <c r="J214" s="4">
        <v>10998</v>
      </c>
      <c r="K214" s="4">
        <v>-115.96299999999999</v>
      </c>
      <c r="L214" s="3">
        <v>-1688.307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15.6" x14ac:dyDescent="0.3">
      <c r="A215" s="2"/>
      <c r="B215" s="2"/>
      <c r="C215" s="2"/>
      <c r="D215" s="2"/>
      <c r="E215" s="2"/>
      <c r="F215" s="2"/>
      <c r="G215" s="2"/>
      <c r="H215" s="2"/>
      <c r="I215" s="5">
        <v>1512280</v>
      </c>
      <c r="J215" s="4">
        <v>10998</v>
      </c>
      <c r="K215" s="4">
        <v>0</v>
      </c>
      <c r="L215" s="3">
        <v>-1692.1189999999999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15.6" x14ac:dyDescent="0.3">
      <c r="A216" s="2"/>
      <c r="B216" s="2"/>
      <c r="C216" s="2"/>
      <c r="D216" s="2"/>
      <c r="E216" s="2"/>
      <c r="F216" s="2"/>
      <c r="G216" s="2"/>
      <c r="H216" s="2"/>
      <c r="I216" s="5">
        <v>74001912</v>
      </c>
      <c r="J216" s="4">
        <v>10998</v>
      </c>
      <c r="K216" s="4">
        <v>0</v>
      </c>
      <c r="L216" s="3">
        <v>2569.61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15.6" x14ac:dyDescent="0.3">
      <c r="A217" s="2"/>
      <c r="B217" s="2"/>
      <c r="C217" s="2"/>
      <c r="D217" s="2"/>
      <c r="E217" s="2"/>
      <c r="F217" s="2"/>
      <c r="G217" s="2"/>
      <c r="H217" s="2"/>
      <c r="I217" s="5">
        <v>74001913</v>
      </c>
      <c r="J217" s="4">
        <v>10998</v>
      </c>
      <c r="K217" s="4">
        <v>122.3</v>
      </c>
      <c r="L217" s="3">
        <v>2565.73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15.6" x14ac:dyDescent="0.3">
      <c r="A218" s="2"/>
      <c r="B218" s="2"/>
      <c r="C218" s="2"/>
      <c r="D218" s="2"/>
      <c r="E218" s="2"/>
      <c r="F218" s="2"/>
      <c r="G218" s="2"/>
      <c r="H218" s="2"/>
      <c r="I218" s="5">
        <v>74001914</v>
      </c>
      <c r="J218" s="4">
        <v>10998</v>
      </c>
      <c r="K218" s="4">
        <v>365.67</v>
      </c>
      <c r="L218" s="3">
        <v>2534.59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15.6" x14ac:dyDescent="0.3">
      <c r="A219" s="2"/>
      <c r="B219" s="2"/>
      <c r="C219" s="2"/>
      <c r="D219" s="2"/>
      <c r="E219" s="2"/>
      <c r="F219" s="2"/>
      <c r="G219" s="2"/>
      <c r="H219" s="2"/>
      <c r="I219" s="5">
        <v>74001915</v>
      </c>
      <c r="J219" s="4">
        <v>10998</v>
      </c>
      <c r="K219" s="4">
        <v>602.91999999999996</v>
      </c>
      <c r="L219" s="3">
        <v>2472.86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15.6" x14ac:dyDescent="0.3">
      <c r="A220" s="2"/>
      <c r="B220" s="2"/>
      <c r="C220" s="2"/>
      <c r="D220" s="2"/>
      <c r="E220" s="2"/>
      <c r="F220" s="2"/>
      <c r="G220" s="2"/>
      <c r="H220" s="2"/>
      <c r="I220" s="5">
        <v>74001916</v>
      </c>
      <c r="J220" s="4">
        <v>10998</v>
      </c>
      <c r="K220" s="4">
        <v>818.33</v>
      </c>
      <c r="L220" s="3">
        <v>2387.31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15.6" x14ac:dyDescent="0.3">
      <c r="A221" s="2"/>
      <c r="B221" s="2"/>
      <c r="C221" s="2"/>
      <c r="D221" s="2"/>
      <c r="E221" s="2"/>
      <c r="F221" s="2"/>
      <c r="G221" s="2"/>
      <c r="H221" s="2"/>
      <c r="I221" s="5">
        <v>74001917</v>
      </c>
      <c r="J221" s="4">
        <v>10998</v>
      </c>
      <c r="K221" s="4">
        <v>1025.1300000000001</v>
      </c>
      <c r="L221" s="3">
        <v>2274.91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15.6" x14ac:dyDescent="0.3">
      <c r="A222" s="2"/>
      <c r="B222" s="2"/>
      <c r="C222" s="2"/>
      <c r="D222" s="2"/>
      <c r="E222" s="2"/>
      <c r="F222" s="2"/>
      <c r="G222" s="2"/>
      <c r="H222" s="2"/>
      <c r="I222" s="5">
        <v>74001918</v>
      </c>
      <c r="J222" s="4">
        <v>10998</v>
      </c>
      <c r="K222" s="4">
        <v>1222.69</v>
      </c>
      <c r="L222" s="3">
        <v>2134.2800000000002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15.6" x14ac:dyDescent="0.3">
      <c r="A223" s="2"/>
      <c r="B223" s="2"/>
      <c r="C223" s="2"/>
      <c r="D223" s="2"/>
      <c r="E223" s="2"/>
      <c r="F223" s="2"/>
      <c r="G223" s="2"/>
      <c r="H223" s="2"/>
      <c r="I223" s="5">
        <v>74001919</v>
      </c>
      <c r="J223" s="4">
        <v>10998</v>
      </c>
      <c r="K223" s="4">
        <v>1402.6</v>
      </c>
      <c r="L223" s="3">
        <v>1970.28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15.6" x14ac:dyDescent="0.3">
      <c r="A224" s="2"/>
      <c r="B224" s="2"/>
      <c r="C224" s="2"/>
      <c r="D224" s="2"/>
      <c r="E224" s="2"/>
      <c r="F224" s="2"/>
      <c r="G224" s="2"/>
      <c r="H224" s="2"/>
      <c r="I224" s="5">
        <v>74001920</v>
      </c>
      <c r="J224" s="4">
        <v>10998</v>
      </c>
      <c r="K224" s="4">
        <v>1555.72</v>
      </c>
      <c r="L224" s="3">
        <v>1793.98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ht="15.6" x14ac:dyDescent="0.3">
      <c r="A225" s="2"/>
      <c r="B225" s="2"/>
      <c r="C225" s="2"/>
      <c r="D225" s="2"/>
      <c r="E225" s="2"/>
      <c r="F225" s="2"/>
      <c r="G225" s="2"/>
      <c r="H225" s="2"/>
      <c r="I225" s="5">
        <v>74001921</v>
      </c>
      <c r="J225" s="4">
        <v>10998</v>
      </c>
      <c r="K225" s="4">
        <v>1688.29</v>
      </c>
      <c r="L225" s="3">
        <v>1600.95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15.6" x14ac:dyDescent="0.3">
      <c r="A226" s="2"/>
      <c r="B226" s="2"/>
      <c r="C226" s="2"/>
      <c r="D226" s="2"/>
      <c r="E226" s="2"/>
      <c r="F226" s="2"/>
      <c r="G226" s="2"/>
      <c r="H226" s="2"/>
      <c r="I226" s="5">
        <v>74001922</v>
      </c>
      <c r="J226" s="4">
        <v>10998</v>
      </c>
      <c r="K226" s="4">
        <v>1798.38</v>
      </c>
      <c r="L226" s="3">
        <v>1393.84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15.6" x14ac:dyDescent="0.3">
      <c r="A227" s="2"/>
      <c r="B227" s="2"/>
      <c r="C227" s="2"/>
      <c r="D227" s="2"/>
      <c r="E227" s="2"/>
      <c r="F227" s="2"/>
      <c r="G227" s="2"/>
      <c r="H227" s="2"/>
      <c r="I227" s="5">
        <v>74001923</v>
      </c>
      <c r="J227" s="4">
        <v>10998</v>
      </c>
      <c r="K227" s="4">
        <v>1886.56</v>
      </c>
      <c r="L227" s="3">
        <v>1168.5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15.6" x14ac:dyDescent="0.3">
      <c r="A228" s="2"/>
      <c r="B228" s="2"/>
      <c r="C228" s="2"/>
      <c r="D228" s="2"/>
      <c r="E228" s="2"/>
      <c r="F228" s="2"/>
      <c r="G228" s="2"/>
      <c r="H228" s="2"/>
      <c r="I228" s="5">
        <v>74001924</v>
      </c>
      <c r="J228" s="4">
        <v>10998</v>
      </c>
      <c r="K228" s="4">
        <v>1947.6</v>
      </c>
      <c r="L228" s="3">
        <v>934.44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ht="15.6" x14ac:dyDescent="0.3">
      <c r="A229" s="2"/>
      <c r="B229" s="2"/>
      <c r="C229" s="2"/>
      <c r="D229" s="2"/>
      <c r="E229" s="2"/>
      <c r="F229" s="2"/>
      <c r="G229" s="2"/>
      <c r="H229" s="2"/>
      <c r="I229" s="5">
        <v>74001925</v>
      </c>
      <c r="J229" s="4">
        <v>10998</v>
      </c>
      <c r="K229" s="4">
        <v>1980.68</v>
      </c>
      <c r="L229" s="3">
        <v>695.03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15.6" x14ac:dyDescent="0.3">
      <c r="A230" s="2"/>
      <c r="B230" s="2"/>
      <c r="C230" s="2"/>
      <c r="D230" s="2"/>
      <c r="E230" s="2"/>
      <c r="F230" s="2"/>
      <c r="G230" s="2"/>
      <c r="H230" s="2"/>
      <c r="I230" s="5">
        <v>74001926</v>
      </c>
      <c r="J230" s="4">
        <v>10998</v>
      </c>
      <c r="K230" s="4">
        <v>1985</v>
      </c>
      <c r="L230" s="3">
        <v>450.1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15.6" x14ac:dyDescent="0.3">
      <c r="A231" s="2"/>
      <c r="B231" s="2"/>
      <c r="C231" s="2"/>
      <c r="D231" s="2"/>
      <c r="E231" s="2"/>
      <c r="F231" s="2"/>
      <c r="G231" s="2"/>
      <c r="H231" s="2"/>
      <c r="I231" s="5">
        <v>74001927</v>
      </c>
      <c r="J231" s="4">
        <v>10998</v>
      </c>
      <c r="K231" s="4">
        <v>1961.2</v>
      </c>
      <c r="L231" s="3">
        <v>206.45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15.6" x14ac:dyDescent="0.3">
      <c r="A232" s="2"/>
      <c r="B232" s="2"/>
      <c r="C232" s="2"/>
      <c r="D232" s="2"/>
      <c r="E232" s="2"/>
      <c r="F232" s="2"/>
      <c r="G232" s="2"/>
      <c r="H232" s="2"/>
      <c r="I232" s="5">
        <v>74001928</v>
      </c>
      <c r="J232" s="4">
        <v>10998</v>
      </c>
      <c r="K232" s="4">
        <v>1918.98</v>
      </c>
      <c r="L232" s="3">
        <v>-9.7200000000000006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ht="15.6" x14ac:dyDescent="0.3">
      <c r="A233" s="2"/>
      <c r="B233" s="2"/>
      <c r="C233" s="2"/>
      <c r="D233" s="2"/>
      <c r="E233" s="2"/>
      <c r="F233" s="2"/>
      <c r="G233" s="2"/>
      <c r="H233" s="2"/>
      <c r="I233" s="5">
        <v>74001929</v>
      </c>
      <c r="J233" s="4">
        <v>10998</v>
      </c>
      <c r="K233" s="4">
        <v>1849.75</v>
      </c>
      <c r="L233" s="3">
        <v>-243.53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15.6" x14ac:dyDescent="0.3">
      <c r="A234" s="2"/>
      <c r="B234" s="2"/>
      <c r="C234" s="2"/>
      <c r="D234" s="2"/>
      <c r="E234" s="2"/>
      <c r="F234" s="2"/>
      <c r="G234" s="2"/>
      <c r="H234" s="2"/>
      <c r="I234" s="5">
        <v>74001930</v>
      </c>
      <c r="J234" s="4">
        <v>10998</v>
      </c>
      <c r="K234" s="4">
        <v>1756.09</v>
      </c>
      <c r="L234" s="3">
        <v>-472.88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15.6" x14ac:dyDescent="0.3">
      <c r="A235" s="2"/>
      <c r="B235" s="2"/>
      <c r="C235" s="2"/>
      <c r="D235" s="2"/>
      <c r="E235" s="2"/>
      <c r="F235" s="2"/>
      <c r="G235" s="2"/>
      <c r="H235" s="2"/>
      <c r="I235" s="5">
        <v>74001931</v>
      </c>
      <c r="J235" s="4">
        <v>10998</v>
      </c>
      <c r="K235" s="4">
        <v>1639.98</v>
      </c>
      <c r="L235" s="3">
        <v>-691.78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15.6" x14ac:dyDescent="0.3">
      <c r="A236" s="2"/>
      <c r="B236" s="2"/>
      <c r="C236" s="2"/>
      <c r="D236" s="2"/>
      <c r="E236" s="2"/>
      <c r="F236" s="2"/>
      <c r="G236" s="2"/>
      <c r="H236" s="2"/>
      <c r="I236" s="5">
        <v>74001932</v>
      </c>
      <c r="J236" s="4">
        <v>10998</v>
      </c>
      <c r="K236" s="4">
        <v>1502.63</v>
      </c>
      <c r="L236" s="3">
        <v>-898.06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ht="15.6" x14ac:dyDescent="0.3">
      <c r="A237" s="2"/>
      <c r="B237" s="2"/>
      <c r="C237" s="2"/>
      <c r="D237" s="2"/>
      <c r="E237" s="2"/>
      <c r="F237" s="2"/>
      <c r="G237" s="2"/>
      <c r="H237" s="2"/>
      <c r="I237" s="5">
        <v>74001933</v>
      </c>
      <c r="J237" s="4">
        <v>10998</v>
      </c>
      <c r="K237" s="4">
        <v>1345.43</v>
      </c>
      <c r="L237" s="3">
        <v>-1089.7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15.6" x14ac:dyDescent="0.3">
      <c r="A238" s="2"/>
      <c r="B238" s="2"/>
      <c r="C238" s="2"/>
      <c r="D238" s="2"/>
      <c r="E238" s="2"/>
      <c r="F238" s="2"/>
      <c r="G238" s="2"/>
      <c r="H238" s="2"/>
      <c r="I238" s="5">
        <v>74001934</v>
      </c>
      <c r="J238" s="4">
        <v>10998</v>
      </c>
      <c r="K238" s="4">
        <v>1167.7</v>
      </c>
      <c r="L238" s="3">
        <v>-1261.76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ht="15.6" x14ac:dyDescent="0.3">
      <c r="A239" s="2"/>
      <c r="B239" s="2"/>
      <c r="C239" s="2"/>
      <c r="D239" s="2"/>
      <c r="E239" s="2"/>
      <c r="F239" s="2"/>
      <c r="G239" s="2"/>
      <c r="H239" s="2"/>
      <c r="I239" s="5">
        <v>74001935</v>
      </c>
      <c r="J239" s="4">
        <v>10998</v>
      </c>
      <c r="K239" s="4">
        <v>968.29</v>
      </c>
      <c r="L239" s="3">
        <v>-1408.3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15.6" x14ac:dyDescent="0.3">
      <c r="A240" s="2"/>
      <c r="B240" s="2"/>
      <c r="C240" s="2"/>
      <c r="D240" s="2"/>
      <c r="E240" s="2"/>
      <c r="F240" s="2"/>
      <c r="G240" s="2"/>
      <c r="H240" s="2"/>
      <c r="I240" s="5">
        <v>74001936</v>
      </c>
      <c r="J240" s="4">
        <v>10998</v>
      </c>
      <c r="K240" s="4">
        <v>750.85</v>
      </c>
      <c r="L240" s="3">
        <v>-1526.7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ht="15.6" x14ac:dyDescent="0.3">
      <c r="A241" s="2"/>
      <c r="B241" s="2"/>
      <c r="C241" s="2"/>
      <c r="D241" s="2"/>
      <c r="E241" s="2"/>
      <c r="F241" s="2"/>
      <c r="G241" s="2"/>
      <c r="H241" s="2"/>
      <c r="I241" s="5">
        <v>74001937</v>
      </c>
      <c r="J241" s="4">
        <v>10998</v>
      </c>
      <c r="K241" s="4">
        <v>546.41999999999996</v>
      </c>
      <c r="L241" s="3">
        <v>-1606.18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15.6" x14ac:dyDescent="0.3">
      <c r="A242" s="2"/>
      <c r="B242" s="2"/>
      <c r="C242" s="2"/>
      <c r="D242" s="2"/>
      <c r="E242" s="2"/>
      <c r="F242" s="2"/>
      <c r="G242" s="2"/>
      <c r="H242" s="2"/>
      <c r="I242" s="5">
        <v>74001938</v>
      </c>
      <c r="J242" s="4">
        <v>10998</v>
      </c>
      <c r="K242" s="4">
        <v>333.76</v>
      </c>
      <c r="L242" s="3">
        <v>-1660.42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15.6" x14ac:dyDescent="0.3">
      <c r="A243" s="2"/>
      <c r="B243" s="2"/>
      <c r="C243" s="2"/>
      <c r="D243" s="2"/>
      <c r="E243" s="2"/>
      <c r="F243" s="2"/>
      <c r="G243" s="2"/>
      <c r="H243" s="2"/>
      <c r="I243" s="5">
        <v>74001939</v>
      </c>
      <c r="J243" s="4">
        <v>10998</v>
      </c>
      <c r="K243" s="4">
        <v>115.96</v>
      </c>
      <c r="L243" s="3">
        <v>-1688.31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15.6" x14ac:dyDescent="0.3">
      <c r="A244" s="2"/>
      <c r="B244" s="2"/>
      <c r="C244" s="2"/>
      <c r="D244" s="2"/>
      <c r="E244" s="2"/>
      <c r="F244" s="2"/>
      <c r="G244" s="2"/>
      <c r="H244" s="2"/>
      <c r="I244" s="5">
        <v>74001940</v>
      </c>
      <c r="J244" s="4">
        <v>10998</v>
      </c>
      <c r="K244" s="4">
        <v>0</v>
      </c>
      <c r="L244" s="3">
        <v>-1692.12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15.6" x14ac:dyDescent="0.3">
      <c r="A245" s="2"/>
      <c r="B245" s="2"/>
      <c r="C245" s="2"/>
      <c r="D245" s="2"/>
      <c r="E245" s="2"/>
      <c r="F245" s="2"/>
      <c r="G245" s="2"/>
      <c r="H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15.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15.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ht="15.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15.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ht="15.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15.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ht="15.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15.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15.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15.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15.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15.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15.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ht="15.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15.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15.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15.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ht="15.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15.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ht="15.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15.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ht="15.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15.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15.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15.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15.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15.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15.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15.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15.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15.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15.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15.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ht="15.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15.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15.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ht="15.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15.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15.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15.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15.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15.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15.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15.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15.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15.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15.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15.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15.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15.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15.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15.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15.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15.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15.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ht="15.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ht="15.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15.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15.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15.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15.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15.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ht="15.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15.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ht="15.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15.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15.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15.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15.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15.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15.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15.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ht="15.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ht="15.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ht="15.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ht="15.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15.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15.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15.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15.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15.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15.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ht="15.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ht="15.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ht="15.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ht="15.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ht="15.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ht="15.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ht="15.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ht="15.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ht="15.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ht="15.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ht="15.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ht="15.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ht="15.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ht="15.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ht="15.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ht="15.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ht="15.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ht="15.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ht="15.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ht="15.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ht="15.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ht="15.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ht="15.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ht="15.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ht="15.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ht="15.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ht="15.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ht="15.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ht="15.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ht="15.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ht="15.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ht="15.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ht="15.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ht="15.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ht="15.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ht="15.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ht="15.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ht="15.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ht="15.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ht="15.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ht="15.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ht="15.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ht="15.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ht="15.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ht="15.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ht="15.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ht="15.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ht="15.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ht="15.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ht="15.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ht="15.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ht="15.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ht="15.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ht="15.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ht="15.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ht="15.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ht="15.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ht="15.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ht="15.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ht="15.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ht="15.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ht="15.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ht="15.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ht="15.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ht="15.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ht="15.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ht="15.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ht="15.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ht="15.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ht="15.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ht="15.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ht="15.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ht="15.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ht="15.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ht="15.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ht="15.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ht="15.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ht="15.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ht="15.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ht="15.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ht="15.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ht="15.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ht="15.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ht="15.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ht="15.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ht="15.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ht="15.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ht="15.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ht="15.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ht="15.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ht="15.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ht="15.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ht="15.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ht="15.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ht="15.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ht="15.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ht="15.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ht="15.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ht="15.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ht="15.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ht="15.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ht="15.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ht="15.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ht="15.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ht="15.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ht="15.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ht="15.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ht="15.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ht="15.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ht="15.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ht="15.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ht="15.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ht="15.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ht="15.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ht="15.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ht="15.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ht="15.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ht="15.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ht="15.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ht="15.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ht="15.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ht="15.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ht="15.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ht="15.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ht="15.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ht="15.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ht="15.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ht="15.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ht="15.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ht="15.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ht="15.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ht="15.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ht="15.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ht="15.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ht="15.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ht="15.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ht="15.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ht="15.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ht="15.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ht="15.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ht="15.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ht="15.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ht="15.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ht="15.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ht="15.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ht="15.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ht="15.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ht="15.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ht="15.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ht="15.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ht="15.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ht="15.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ht="15.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ht="15.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ht="15.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ht="15.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ht="15.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ht="15.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ht="15.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ht="15.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ht="15.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ht="15.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ht="15.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ht="15.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ht="15.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ht="15.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ht="15.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ht="15.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ht="15.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ht="15.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ht="15.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ht="15.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ht="15.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ht="15.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ht="15.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ht="15.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ht="15.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ht="15.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ht="15.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ht="15.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ht="15.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ht="15.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ht="15.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ht="15.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ht="15.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ht="15.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ht="15.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ht="15.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ht="15.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ht="15.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ht="15.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ht="15.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ht="15.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ht="15.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ht="15.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ht="15.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ht="15.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ht="15.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ht="15.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ht="15.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ht="15.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ht="15.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ht="15.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ht="15.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ht="15.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ht="15.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ht="15.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ht="15.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ht="15.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ht="15.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ht="15.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ht="15.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ht="15.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ht="15.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ht="15.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ht="15.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ht="15.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ht="15.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ht="15.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ht="15.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ht="15.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ht="15.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ht="15.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ht="15.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ht="15.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ht="15.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ht="15.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ht="15.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ht="15.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ht="15.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ht="15.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ht="15.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ht="15.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ht="15.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ht="15.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ht="15.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ht="15.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ht="15.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ht="15.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ht="15.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ht="15.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ht="15.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ht="15.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ht="15.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ht="15.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ht="15.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ht="15.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ht="15.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ht="15.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ht="15.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ht="15.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ht="15.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ht="15.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ht="15.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ht="15.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ht="15.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ht="15.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ht="15.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ht="15.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ht="15.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ht="15.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ht="15.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ht="15.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ht="15.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ht="15.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ht="15.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ht="15.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ht="15.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ht="15.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ht="15.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ht="15.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ht="15.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ht="15.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ht="15.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ht="15.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ht="15.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ht="15.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ht="15.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ht="15.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ht="15.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ht="15.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ht="15.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ht="15.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ht="15.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ht="15.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ht="15.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ht="15.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ht="15.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ht="15.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ht="15.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ht="15.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ht="15.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ht="15.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ht="15.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ht="15.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ht="15.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ht="15.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ht="15.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ht="15.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ht="15.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ht="15.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ht="15.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ht="15.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ht="15.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ht="15.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ht="15.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ht="15.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ht="15.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ht="15.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ht="15.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ht="15.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ht="15.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ht="15.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ht="15.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ht="15.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ht="15.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ht="15.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ht="15.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ht="15.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ht="15.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ht="15.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ht="15.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ht="15.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ht="15.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ht="15.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ht="15.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ht="15.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ht="15.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ht="15.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ht="15.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ht="15.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ht="15.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ht="15.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ht="15.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ht="15.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ht="15.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ht="15.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ht="15.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ht="15.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ht="15.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ht="15.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ht="15.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ht="15.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ht="15.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ht="15.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ht="15.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ht="15.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ht="15.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ht="15.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ht="15.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ht="15.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ht="15.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ht="15.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ht="15.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ht="15.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ht="15.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ht="15.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ht="15.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ht="15.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ht="15.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ht="15.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ht="15.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ht="15.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ht="15.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ht="15.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ht="15.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ht="15.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ht="15.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ht="15.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ht="15.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ht="15.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ht="15.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ht="15.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ht="15.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ht="15.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ht="15.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ht="15.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ht="15.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ht="15.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ht="15.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ht="15.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ht="15.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ht="15.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ht="15.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ht="15.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ht="15.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ht="15.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ht="15.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ht="15.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ht="15.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ht="15.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ht="15.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ht="15.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ht="15.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ht="15.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ht="15.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ht="15.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ht="15.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ht="15.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ht="15.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ht="15.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ht="15.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ht="15.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ht="15.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ht="15.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ht="15.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ht="15.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ht="15.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ht="15.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ht="15.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ht="15.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ht="15.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ht="15.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ht="15.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ht="15.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ht="15.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ht="15.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ht="15.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ht="15.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ht="15.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ht="15.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ht="15.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ht="15.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ht="15.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ht="15.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ht="15.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ht="15.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ht="15.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ht="15.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ht="15.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ht="15.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ht="15.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ht="15.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ht="15.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ht="15.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ht="15.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ht="15.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ht="15.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ht="15.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ht="15.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ht="15.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ht="15.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ht="15.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ht="15.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ht="15.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ht="15.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ht="15.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ht="15.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ht="15.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ht="15.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ht="15.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ht="15.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ht="15.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ht="15.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ht="15.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ht="15.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ht="15.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ht="15.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ht="15.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ht="15.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ht="15.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ht="15.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ht="15.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ht="15.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ht="15.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ht="15.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ht="15.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ht="15.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ht="15.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ht="15.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ht="15.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ht="15.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ht="15.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ht="15.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ht="15.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ht="15.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ht="15.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ht="15.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ht="15.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ht="15.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ht="15.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ht="15.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ht="15.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ht="15.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ht="15.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ht="15.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ht="15.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ht="15.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ht="15.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ht="15.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ht="15.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ht="15.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ht="15.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ht="15.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ht="15.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ht="15.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ht="15.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ht="15.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ht="15.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ht="15.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ht="15.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ht="15.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ht="15.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ht="15.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ht="15.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ht="15.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ht="15.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ht="15.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ht="15.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ht="15.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ht="15.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ht="15.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ht="15.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ht="15.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ht="15.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ht="15.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ht="15.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ht="15.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ht="15.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ht="15.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ht="15.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ht="15.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ht="15.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ht="15.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ht="15.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ht="15.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ht="15.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ht="15.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ht="15.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ht="15.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ht="15.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ht="15.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ht="15.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ht="15.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ht="15.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ht="15.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ht="15.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ht="15.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ht="15.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ht="15.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ht="15.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ht="15.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ht="15.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ht="15.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ht="15.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ht="15.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ht="15.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ht="15.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ht="15.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ht="15.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ht="15.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ht="15.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ht="15.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ht="15.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ht="15.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ht="15.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ht="15.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ht="15.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ht="15.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ht="15.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ht="15.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ht="15.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ht="15.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ht="15.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ht="15.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ht="15.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ht="15.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ht="15.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ht="15.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ht="15.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ht="15.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ht="15.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ht="15.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ht="15.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ht="15.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ht="15.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ht="15.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ht="15.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ht="15.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ht="15.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ht="15.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ht="15.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ht="15.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ht="15.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ht="15.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ht="15.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ht="15.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ht="15.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ht="15.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ht="15.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ht="15.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ht="15.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ht="15.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ht="15.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ht="15.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ht="15.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ht="15.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ht="15.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ht="15.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ht="15.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ht="15.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ht="15.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ht="15.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ht="15.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ht="15.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ht="15.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ht="15.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ht="15.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ht="15.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ht="15.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ht="15.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ht="15.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ht="15.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ht="15.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ht="15.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ht="15.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ht="15.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ht="15.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ht="15.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ht="15.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ht="15.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ht="15.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ht="15.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ht="15.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ht="15.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ht="15.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ht="15.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ht="15.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ht="15.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ht="15.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ht="15.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ht="15.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ht="15.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ht="15.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ht="15.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ht="15.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ht="15.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ht="15.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ht="15.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ht="15.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ht="15.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ht="15.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ht="15.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ht="15.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ht="15.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ht="15.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ht="15.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ht="15.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ht="15.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ht="15.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ht="15.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ht="15.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ht="15.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ht="15.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ht="15.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ht="15.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ht="15.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ht="15.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ht="15.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ht="15.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ht="15.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ht="15.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ht="15.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ht="15.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ht="15.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ht="15.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ht="15.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ht="15.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ht="15.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ht="15.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ht="15.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ht="15.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ht="15.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 ht="15.6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ht="15.6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 ht="15.6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 ht="15.6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 ht="15.6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 ht="15.6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ht="15.6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ht="15.6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 ht="15.6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ht="15.6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 ht="15.6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ht="15.6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 ht="15.6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ht="15.6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 ht="15.6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 ht="15.6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 ht="15.6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 ht="15.6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 ht="15.6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 ht="15.6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 ht="15.6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 ht="15.6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 spans="1:38" ht="15.6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 ht="15.6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 ht="15.6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 ht="15.6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 ht="15.6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 ht="15.6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 ht="15.6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 ht="15.6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 ht="15.6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 ht="15.6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 ht="15.6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2026-03-17T15:23:20Z</dcterms:created>
  <dcterms:modified xsi:type="dcterms:W3CDTF">2026-03-17T15:53:17Z</dcterms:modified>
</cp:coreProperties>
</file>